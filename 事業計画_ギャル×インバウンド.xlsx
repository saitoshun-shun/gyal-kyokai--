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業サマリー" sheetId="1" state="visible" r:id="rId1"/>
    <sheet xmlns:r="http://schemas.openxmlformats.org/officeDocument/2006/relationships" name="月次計画_Year1" sheetId="2" state="visible" r:id="rId2"/>
    <sheet xmlns:r="http://schemas.openxmlformats.org/officeDocument/2006/relationships" name="3カ年計画" sheetId="3" state="visible" r:id="rId3"/>
    <sheet xmlns:r="http://schemas.openxmlformats.org/officeDocument/2006/relationships" name="収益シミュレーション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1493"/>
      <sz val="11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2D2D2D"/>
      <sz val="10"/>
    </font>
    <font>
      <name val="Calibri"/>
      <b val="1"/>
      <color rgb="00FFFFFF"/>
      <sz val="14"/>
    </font>
    <font>
      <name val="Calibri"/>
      <b val="1"/>
      <color rgb="002D2D2D"/>
      <sz val="10"/>
    </font>
  </fonts>
  <fills count="6">
    <fill>
      <patternFill/>
    </fill>
    <fill>
      <patternFill patternType="gray125"/>
    </fill>
    <fill>
      <patternFill patternType="solid">
        <fgColor rgb="00FF69B4"/>
      </patternFill>
    </fill>
    <fill>
      <patternFill patternType="solid">
        <fgColor rgb="00FFD6E8"/>
      </patternFill>
    </fill>
    <fill>
      <patternFill patternType="solid">
        <fgColor rgb="00FF1493"/>
      </patternFill>
    </fill>
    <fill>
      <patternFill patternType="solid">
        <fgColor rgb="00FFFFFF"/>
      </patternFill>
    </fill>
  </fills>
  <borders count="7">
    <border>
      <left/>
      <right/>
      <top/>
      <bottom/>
      <diagonal/>
    </border>
    <border>
      <left style="thin">
        <color rgb="00FF1493"/>
      </left>
      <right style="thin">
        <color rgb="00FF1493"/>
      </right>
      <top style="thin">
        <color rgb="00FF1493"/>
      </top>
      <bottom style="thin">
        <color rgb="00FF1493"/>
      </bottom>
    </border>
    <border>
      <left/>
      <right/>
      <top style="thin">
        <color rgb="00FF1493"/>
      </top>
      <bottom/>
      <diagonal/>
    </border>
    <border>
      <left/>
      <right style="thin">
        <color rgb="00FF1493"/>
      </right>
      <top style="thin">
        <color rgb="00FF1493"/>
      </top>
      <bottom/>
      <diagonal/>
    </border>
    <border>
      <left/>
      <right/>
      <top style="thin">
        <color rgb="00FF1493"/>
      </top>
      <bottom style="thin">
        <color rgb="00FF1493"/>
      </bottom>
      <diagonal/>
    </border>
    <border>
      <left/>
      <right style="thin">
        <color rgb="00FF1493"/>
      </right>
      <top style="thin">
        <color rgb="00FF1493"/>
      </top>
      <bottom style="thin">
        <color rgb="00FF1493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6" applyAlignment="1" pivotButton="0" quotePrefix="0" xfId="0">
      <alignment horizontal="left" vertical="center"/>
    </xf>
    <xf numFmtId="0" fontId="5" fillId="5" borderId="6" applyAlignment="1" pivotButton="0" quotePrefix="0" xfId="0">
      <alignment horizontal="left" vertical="center"/>
    </xf>
    <xf numFmtId="0" fontId="5" fillId="3" borderId="6" applyAlignment="1" pivotButton="0" quotePrefix="0" xfId="0">
      <alignment horizontal="left" vertical="center" wrapText="1"/>
    </xf>
    <xf numFmtId="0" fontId="5" fillId="5" borderId="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3" fontId="5" fillId="3" borderId="6" applyAlignment="1" pivotButton="0" quotePrefix="0" xfId="0">
      <alignment horizontal="right" vertical="center"/>
    </xf>
    <xf numFmtId="3" fontId="7" fillId="3" borderId="6" applyAlignment="1" pivotButton="0" quotePrefix="0" xfId="0">
      <alignment horizontal="right" vertical="center"/>
    </xf>
    <xf numFmtId="3" fontId="5" fillId="5" borderId="6" applyAlignment="1" pivotButton="0" quotePrefix="0" xfId="0">
      <alignment horizontal="right" vertical="center"/>
    </xf>
    <xf numFmtId="3" fontId="7" fillId="5" borderId="6" applyAlignment="1" pivotButton="0" quotePrefix="0" xfId="0">
      <alignment horizontal="right" vertical="center"/>
    </xf>
    <xf numFmtId="0" fontId="4" fillId="4" borderId="6" applyAlignment="1" pivotButton="0" quotePrefix="0" xfId="0">
      <alignment horizontal="left" vertical="center"/>
    </xf>
    <xf numFmtId="3" fontId="4" fillId="4" borderId="6" applyAlignment="1" pivotButton="0" quotePrefix="0" xfId="0">
      <alignment horizontal="right" vertical="center"/>
    </xf>
    <xf numFmtId="0" fontId="7" fillId="3" borderId="6" applyAlignment="1" pivotButton="0" quotePrefix="0" xfId="0">
      <alignment horizontal="left" vertical="center"/>
    </xf>
    <xf numFmtId="0" fontId="5" fillId="3" borderId="6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4" fillId="4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left" vertical="center" wrapText="1"/>
    </xf>
    <xf numFmtId="0" fontId="7" fillId="5" borderId="6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3カ年 収益推移（万円）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'収益シミュレーション'!B2</f>
            </strRef>
          </tx>
          <spPr>
            <a:solidFill xmlns:a="http://schemas.openxmlformats.org/drawingml/2006/main">
              <a:srgbClr val="FF69B4"/>
            </a:solidFill>
            <a:ln xmlns:a="http://schemas.openxmlformats.org/drawingml/2006/main">
              <a:prstDash val="solid"/>
            </a:ln>
          </spPr>
          <cat>
            <numRef>
              <f>'収益シミュレーション'!$A$3:$A$7</f>
            </numRef>
          </cat>
          <val>
            <numRef>
              <f>'収益シミュレーション'!$B$3:$B$7</f>
            </numRef>
          </val>
        </ser>
        <ser>
          <idx val="1"/>
          <order val="1"/>
          <tx>
            <strRef>
              <f>'収益シミュレーション'!C2</f>
            </strRef>
          </tx>
          <spPr>
            <a:solidFill xmlns:a="http://schemas.openxmlformats.org/drawingml/2006/main">
              <a:srgbClr val="FF1493"/>
            </a:solidFill>
            <a:ln xmlns:a="http://schemas.openxmlformats.org/drawingml/2006/main">
              <a:prstDash val="solid"/>
            </a:ln>
          </spPr>
          <cat>
            <numRef>
              <f>'収益シミュレーション'!$A$3:$A$7</f>
            </numRef>
          </cat>
          <val>
            <numRef>
              <f>'収益シミュレーション'!$C$3:$C$7</f>
            </numRef>
          </val>
        </ser>
        <ser>
          <idx val="2"/>
          <order val="2"/>
          <tx>
            <strRef>
              <f>'収益シミュレーション'!D2</f>
            </strRef>
          </tx>
          <spPr>
            <a:solidFill xmlns:a="http://schemas.openxmlformats.org/drawingml/2006/main">
              <a:srgbClr val="FFD6E8"/>
            </a:solidFill>
            <a:ln xmlns:a="http://schemas.openxmlformats.org/drawingml/2006/main">
              <a:prstDash val="solid"/>
            </a:ln>
          </spPr>
          <cat>
            <numRef>
              <f>'収益シミュレーション'!$A$3:$A$7</f>
            </numRef>
          </cat>
          <val>
            <numRef>
              <f>'収益シミュレーション'!$D$3:$D$7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収益源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売上（万円）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18" customWidth="1" min="5" max="5"/>
  </cols>
  <sheetData>
    <row r="1" ht="36" customHeight="1">
      <c r="A1" s="1" t="inlineStr">
        <is>
          <t>ギャル協会 × サイバーバズ × ENTIAL　事業計画サマリー</t>
        </is>
      </c>
    </row>
    <row r="2" ht="22" customHeight="1">
      <c r="A2" s="2" t="inlineStr">
        <is>
          <t>米国TikTok（WESELL）×インバウンド体験×広告タイアップ　3年10億円事業計画</t>
        </is>
      </c>
    </row>
    <row r="3" ht="10" customHeight="1"/>
    <row r="4">
      <c r="A4" s="3" t="inlineStr">
        <is>
          <t>■ 3社の役割</t>
        </is>
      </c>
      <c r="B4" s="4" t="n"/>
      <c r="C4" s="4" t="n"/>
      <c r="D4" s="4" t="n"/>
      <c r="E4" s="5" t="n"/>
    </row>
    <row r="5">
      <c r="A5" s="6" t="inlineStr">
        <is>
          <t>プレイヤー</t>
        </is>
      </c>
      <c r="B5" s="6" t="inlineStr">
        <is>
          <t>役割</t>
        </is>
      </c>
      <c r="C5" s="6" t="inlineStr">
        <is>
          <t>主な業務</t>
        </is>
      </c>
      <c r="D5" s="6" t="inlineStr">
        <is>
          <t>収益形態</t>
        </is>
      </c>
      <c r="E5" s="6" t="inlineStr">
        <is>
          <t>備考</t>
        </is>
      </c>
    </row>
    <row r="6">
      <c r="A6" s="7" t="inlineStr">
        <is>
          <t>ギャル協会 / うさたにパイセン</t>
        </is>
      </c>
      <c r="B6" s="7" t="inlineStr">
        <is>
          <t>IPオーナー・コンテンツクリエイター</t>
        </is>
      </c>
      <c r="C6" s="7" t="inlineStr">
        <is>
          <t>世界観・出演・ギャル文化の発信</t>
        </is>
      </c>
      <c r="D6" s="7" t="inlineStr">
        <is>
          <t>レベニューシェア受取</t>
        </is>
      </c>
      <c r="E6" s="7" t="inlineStr"/>
    </row>
    <row r="7">
      <c r="A7" s="8" t="inlineStr">
        <is>
          <t>サイバーバズ</t>
        </is>
      </c>
      <c r="B7" s="8" t="inlineStr">
        <is>
          <t>メディアオーナー・資金提供</t>
        </is>
      </c>
      <c r="C7" s="8" t="inlineStr">
        <is>
          <t>TikTok/IG運営・WESELL・制作費負担</t>
        </is>
      </c>
      <c r="D7" s="8" t="inlineStr">
        <is>
          <t>収益の主体</t>
        </is>
      </c>
      <c r="E7" s="8" t="inlineStr"/>
    </row>
    <row r="8">
      <c r="A8" s="7" t="inlineStr">
        <is>
          <t>ENTIAL</t>
        </is>
      </c>
      <c r="B8" s="7" t="inlineStr">
        <is>
          <t>PM（バズ社内）・営業統括</t>
        </is>
      </c>
      <c r="C8" s="7" t="inlineStr">
        <is>
          <t>企業・自治体への営業、進行管理</t>
        </is>
      </c>
      <c r="D8" s="7" t="inlineStr">
        <is>
          <t>固定費＋インセンティブ</t>
        </is>
      </c>
      <c r="E8" s="7" t="inlineStr">
        <is>
          <t>バズ人件費ゼロ</t>
        </is>
      </c>
    </row>
    <row r="9" ht="10" customHeight="1"/>
    <row r="10">
      <c r="A10" s="3" t="inlineStr">
        <is>
          <t>■ 収益構造（5本柱）</t>
        </is>
      </c>
      <c r="B10" s="4" t="n"/>
      <c r="C10" s="4" t="n"/>
      <c r="D10" s="4" t="n"/>
      <c r="E10" s="5" t="n"/>
    </row>
    <row r="11">
      <c r="A11" s="6" t="inlineStr">
        <is>
          <t>収益源</t>
        </is>
      </c>
      <c r="B11" s="6" t="inlineStr">
        <is>
          <t>概要</t>
        </is>
      </c>
      <c r="C11" s="6" t="inlineStr">
        <is>
          <t>Year1</t>
        </is>
      </c>
      <c r="D11" s="6" t="inlineStr">
        <is>
          <t>Year2</t>
        </is>
      </c>
      <c r="E11" s="6" t="inlineStr">
        <is>
          <t>Year3</t>
        </is>
      </c>
    </row>
    <row r="12" ht="30" customHeight="1">
      <c r="A12" s="9" t="inlineStr">
        <is>
          <t>① インバウンド体験</t>
        </is>
      </c>
      <c r="B12" s="9" t="inlineStr">
        <is>
          <t>渋谷ギャル体験（ppgalclub参考）
月50→200→500人</t>
        </is>
      </c>
      <c r="C12" s="9" t="inlineStr">
        <is>
          <t>1,800万円</t>
        </is>
      </c>
      <c r="D12" s="9" t="inlineStr">
        <is>
          <t>4,800万円</t>
        </is>
      </c>
      <c r="E12" s="9" t="inlineStr">
        <is>
          <t>1億5,000万円</t>
        </is>
      </c>
    </row>
    <row r="13" ht="30" customHeight="1">
      <c r="A13" s="10" t="inlineStr">
        <is>
          <t>② 広告タイアップ</t>
        </is>
      </c>
      <c r="B13" s="10" t="inlineStr">
        <is>
          <t>企業×TikTokドラマPR
月1→3→8案件</t>
        </is>
      </c>
      <c r="C13" s="10" t="inlineStr">
        <is>
          <t>3,600万円</t>
        </is>
      </c>
      <c r="D13" s="10" t="inlineStr">
        <is>
          <t>1億800万円</t>
        </is>
      </c>
      <c r="E13" s="10" t="inlineStr">
        <is>
          <t>3億3,600万円</t>
        </is>
      </c>
    </row>
    <row r="14" ht="30" customHeight="1">
      <c r="A14" s="9" t="inlineStr">
        <is>
          <t>③ WESELL グッズ販売</t>
        </is>
      </c>
      <c r="B14" s="9" t="inlineStr">
        <is>
          <t>米国TikTok Shop コスメ・グッズ
粗利40-50%</t>
        </is>
      </c>
      <c r="C14" s="9" t="inlineStr">
        <is>
          <t>1,200万円</t>
        </is>
      </c>
      <c r="D14" s="9" t="inlineStr">
        <is>
          <t>6,000万円</t>
        </is>
      </c>
      <c r="E14" s="9" t="inlineStr">
        <is>
          <t>2億4,000万円</t>
        </is>
      </c>
    </row>
    <row r="15" ht="30" customHeight="1">
      <c r="A15" s="10" t="inlineStr">
        <is>
          <t>④ IPライセンス</t>
        </is>
      </c>
      <c r="B15" s="10" t="inlineStr">
        <is>
          <t>企業コラボ・公認ロゴ使用料
国内→海外展開</t>
        </is>
      </c>
      <c r="C15" s="10" t="inlineStr">
        <is>
          <t>600万円</t>
        </is>
      </c>
      <c r="D15" s="10" t="inlineStr">
        <is>
          <t>1,200万円</t>
        </is>
      </c>
      <c r="E15" s="10" t="inlineStr">
        <is>
          <t>6,000万円</t>
        </is>
      </c>
    </row>
    <row r="16" ht="30" customHeight="1">
      <c r="A16" s="9" t="inlineStr">
        <is>
          <t>⑤ ギャル旅タイアップ</t>
        </is>
      </c>
      <c r="B16" s="9" t="inlineStr">
        <is>
          <t>自治体・観光協会向け
年2→5→12案件</t>
        </is>
      </c>
      <c r="C16" s="9" t="inlineStr">
        <is>
          <t>800万円</t>
        </is>
      </c>
      <c r="D16" s="9" t="inlineStr">
        <is>
          <t>2,500万円</t>
        </is>
      </c>
      <c r="E16" s="9" t="inlineStr">
        <is>
          <t>6,000万円</t>
        </is>
      </c>
    </row>
    <row r="17" ht="30" customHeight="1">
      <c r="A17" s="11" t="inlineStr">
        <is>
          <t>合　計</t>
        </is>
      </c>
      <c r="B17" s="11" t="inlineStr"/>
      <c r="C17" s="11" t="inlineStr">
        <is>
          <t>約1億円</t>
        </is>
      </c>
      <c r="D17" s="11" t="inlineStr">
        <is>
          <t>約2億5,300万円</t>
        </is>
      </c>
      <c r="E17" s="11" t="inlineStr">
        <is>
          <t>約10億円</t>
        </is>
      </c>
    </row>
    <row r="18" ht="10" customHeight="1"/>
    <row r="19">
      <c r="A19" s="3" t="inlineStr">
        <is>
          <t>■ KPI目標</t>
        </is>
      </c>
      <c r="B19" s="4" t="n"/>
      <c r="C19" s="4" t="n"/>
      <c r="D19" s="4" t="n"/>
      <c r="E19" s="5" t="n"/>
    </row>
    <row r="20">
      <c r="A20" s="6" t="inlineStr">
        <is>
          <t>KPI</t>
        </is>
      </c>
      <c r="B20" s="6" t="inlineStr">
        <is>
          <t>Year1目標</t>
        </is>
      </c>
      <c r="C20" s="6" t="inlineStr">
        <is>
          <t>Year2目標</t>
        </is>
      </c>
      <c r="D20" s="6" t="inlineStr">
        <is>
          <t>Year3目標</t>
        </is>
      </c>
      <c r="E20" s="6" t="inlineStr">
        <is>
          <t>備考</t>
        </is>
      </c>
    </row>
    <row r="21">
      <c r="A21" s="7" t="inlineStr">
        <is>
          <t>TikTok フォロワー数</t>
        </is>
      </c>
      <c r="B21" s="7" t="inlineStr">
        <is>
          <t>1万人</t>
        </is>
      </c>
      <c r="C21" s="7" t="inlineStr">
        <is>
          <t>10万人</t>
        </is>
      </c>
      <c r="D21" s="7" t="inlineStr">
        <is>
          <t>50万人</t>
        </is>
      </c>
      <c r="E21" s="7" t="inlineStr">
        <is>
          <t>米国向け英語アカウント</t>
        </is>
      </c>
    </row>
    <row r="22">
      <c r="A22" s="8" t="inlineStr">
        <is>
          <t>Instagram フォロワー数</t>
        </is>
      </c>
      <c r="B22" s="8" t="inlineStr">
        <is>
          <t>5,000人</t>
        </is>
      </c>
      <c r="C22" s="8" t="inlineStr">
        <is>
          <t>3万人</t>
        </is>
      </c>
      <c r="D22" s="8" t="inlineStr">
        <is>
          <t>20万人</t>
        </is>
      </c>
      <c r="E22" s="8" t="inlineStr">
        <is>
          <t>サブ運用</t>
        </is>
      </c>
    </row>
    <row r="23">
      <c r="A23" s="7" t="inlineStr">
        <is>
          <t>インバウンド体験 月間人数</t>
        </is>
      </c>
      <c r="B23" s="7" t="inlineStr">
        <is>
          <t>50人</t>
        </is>
      </c>
      <c r="C23" s="7" t="inlineStr">
        <is>
          <t>200人</t>
        </is>
      </c>
      <c r="D23" s="7" t="inlineStr">
        <is>
          <t>500人</t>
        </is>
      </c>
      <c r="E23" s="7" t="inlineStr">
        <is>
          <t>ppgalclub参考</t>
        </is>
      </c>
    </row>
    <row r="24">
      <c r="A24" s="8" t="inlineStr">
        <is>
          <t>月次タイアップ案件数</t>
        </is>
      </c>
      <c r="B24" s="8" t="inlineStr">
        <is>
          <t>1件</t>
        </is>
      </c>
      <c r="C24" s="8" t="inlineStr">
        <is>
          <t>3件</t>
        </is>
      </c>
      <c r="D24" s="8" t="inlineStr">
        <is>
          <t>8件</t>
        </is>
      </c>
      <c r="E24" s="8" t="inlineStr">
        <is>
          <t>ENTIAL営業</t>
        </is>
      </c>
    </row>
    <row r="25">
      <c r="A25" s="7" t="inlineStr">
        <is>
          <t>WESELL 月間売上</t>
        </is>
      </c>
      <c r="B25" s="7" t="inlineStr">
        <is>
          <t>100万円</t>
        </is>
      </c>
      <c r="C25" s="7" t="inlineStr">
        <is>
          <t>500万円</t>
        </is>
      </c>
      <c r="D25" s="7" t="inlineStr">
        <is>
          <t>2,000万円</t>
        </is>
      </c>
      <c r="E25" s="7" t="inlineStr">
        <is>
          <t>グッズ・コスメ</t>
        </is>
      </c>
    </row>
    <row r="26">
      <c r="A26" s="8" t="inlineStr">
        <is>
          <t>ライセンス契約社数</t>
        </is>
      </c>
      <c r="B26" s="8" t="inlineStr">
        <is>
          <t>2社</t>
        </is>
      </c>
      <c r="C26" s="8" t="inlineStr">
        <is>
          <t>5社</t>
        </is>
      </c>
      <c r="D26" s="8" t="inlineStr">
        <is>
          <t>20社</t>
        </is>
      </c>
      <c r="E26" s="8" t="inlineStr">
        <is>
          <t>国内外</t>
        </is>
      </c>
    </row>
    <row r="27" ht="10" customHeight="1"/>
    <row r="28">
      <c r="A28" s="3" t="inlineStr">
        <is>
          <t>■ 収益分配（レベニューシェア）</t>
        </is>
      </c>
      <c r="B28" s="4" t="n"/>
      <c r="C28" s="4" t="n"/>
      <c r="D28" s="4" t="n"/>
      <c r="E28" s="5" t="n"/>
    </row>
    <row r="29">
      <c r="A29" s="6" t="inlineStr">
        <is>
          <t>収益源</t>
        </is>
      </c>
      <c r="B29" s="6" t="inlineStr">
        <is>
          <t>ギャル協会</t>
        </is>
      </c>
      <c r="C29" s="6" t="inlineStr">
        <is>
          <t>サイバーバズ</t>
        </is>
      </c>
      <c r="D29" s="6" t="inlineStr">
        <is>
          <t>ENTIAL</t>
        </is>
      </c>
      <c r="E29" s="6" t="inlineStr">
        <is>
          <t>備考</t>
        </is>
      </c>
    </row>
    <row r="30">
      <c r="A30" s="7" t="inlineStr">
        <is>
          <t>広告タイアップ</t>
        </is>
      </c>
      <c r="B30" s="7" t="inlineStr">
        <is>
          <t>40%</t>
        </is>
      </c>
      <c r="C30" s="7" t="inlineStr">
        <is>
          <t>50%</t>
        </is>
      </c>
      <c r="D30" s="7" t="inlineStr">
        <is>
          <t>10%（営業手数料）</t>
        </is>
      </c>
      <c r="E30" s="7" t="inlineStr">
        <is>
          <t>グロス売上ベース</t>
        </is>
      </c>
    </row>
    <row r="31">
      <c r="A31" s="8" t="inlineStr">
        <is>
          <t>WESELL グッズ販売</t>
        </is>
      </c>
      <c r="B31" s="8" t="inlineStr">
        <is>
          <t>20%（監修料）</t>
        </is>
      </c>
      <c r="C31" s="8" t="inlineStr">
        <is>
          <t>60%</t>
        </is>
      </c>
      <c r="D31" s="8" t="inlineStr">
        <is>
          <t>20%（PM料）</t>
        </is>
      </c>
      <c r="E31" s="8" t="inlineStr">
        <is>
          <t>粗利ベース</t>
        </is>
      </c>
    </row>
    <row r="32">
      <c r="A32" s="7" t="inlineStr">
        <is>
          <t>インバウンド体験</t>
        </is>
      </c>
      <c r="B32" s="7" t="inlineStr">
        <is>
          <t>30%（出演・監修）</t>
        </is>
      </c>
      <c r="C32" s="7" t="inlineStr">
        <is>
          <t>50%</t>
        </is>
      </c>
      <c r="D32" s="7" t="inlineStr">
        <is>
          <t>20%</t>
        </is>
      </c>
      <c r="E32" s="7" t="inlineStr">
        <is>
          <t>売上ベース</t>
        </is>
      </c>
    </row>
    <row r="33">
      <c r="A33" s="8" t="inlineStr">
        <is>
          <t>IPライセンス</t>
        </is>
      </c>
      <c r="B33" s="8" t="inlineStr">
        <is>
          <t>50%</t>
        </is>
      </c>
      <c r="C33" s="8" t="inlineStr">
        <is>
          <t>40%</t>
        </is>
      </c>
      <c r="D33" s="8" t="inlineStr">
        <is>
          <t>10%</t>
        </is>
      </c>
      <c r="E33" s="8" t="inlineStr">
        <is>
          <t>ロイヤリティ方式</t>
        </is>
      </c>
    </row>
    <row r="34">
      <c r="A34" s="7" t="inlineStr">
        <is>
          <t>ギャル旅</t>
        </is>
      </c>
      <c r="B34" s="7" t="inlineStr">
        <is>
          <t>30%</t>
        </is>
      </c>
      <c r="C34" s="7" t="inlineStr">
        <is>
          <t>55%</t>
        </is>
      </c>
      <c r="D34" s="7" t="inlineStr">
        <is>
          <t>15%</t>
        </is>
      </c>
      <c r="E34" s="7" t="inlineStr">
        <is>
          <t>グロス売上ベース</t>
        </is>
      </c>
    </row>
  </sheetData>
  <mergeCells count="6">
    <mergeCell ref="A4:E4"/>
    <mergeCell ref="A2:E2"/>
    <mergeCell ref="A10:E10"/>
    <mergeCell ref="A28:E28"/>
    <mergeCell ref="A19:E19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30" customHeight="1">
      <c r="A1" s="12" t="inlineStr">
        <is>
          <t>Year1 月次売上計画（単位：万円）</t>
        </is>
      </c>
    </row>
    <row r="2">
      <c r="A2" s="6" t="inlineStr">
        <is>
          <t>収益源</t>
        </is>
      </c>
      <c r="B2" s="6" t="inlineStr">
        <is>
          <t>1月</t>
        </is>
      </c>
      <c r="C2" s="6" t="inlineStr">
        <is>
          <t>2月</t>
        </is>
      </c>
      <c r="D2" s="6" t="inlineStr">
        <is>
          <t>3月</t>
        </is>
      </c>
      <c r="E2" s="6" t="inlineStr">
        <is>
          <t>4月</t>
        </is>
      </c>
      <c r="F2" s="6" t="inlineStr">
        <is>
          <t>5月</t>
        </is>
      </c>
      <c r="G2" s="6" t="inlineStr">
        <is>
          <t>6月</t>
        </is>
      </c>
      <c r="H2" s="6" t="inlineStr">
        <is>
          <t>7月</t>
        </is>
      </c>
      <c r="I2" s="6" t="inlineStr">
        <is>
          <t>8月</t>
        </is>
      </c>
      <c r="J2" s="6" t="inlineStr">
        <is>
          <t>9月</t>
        </is>
      </c>
      <c r="K2" s="6" t="inlineStr">
        <is>
          <t>10月</t>
        </is>
      </c>
      <c r="L2" s="6" t="inlineStr">
        <is>
          <t>11月</t>
        </is>
      </c>
      <c r="M2" s="6" t="inlineStr">
        <is>
          <t>12月</t>
        </is>
      </c>
      <c r="N2" s="6" t="inlineStr">
        <is>
          <t>Year1合計</t>
        </is>
      </c>
    </row>
    <row r="3">
      <c r="A3" s="7" t="inlineStr">
        <is>
          <t>① インバウンド体験</t>
        </is>
      </c>
      <c r="B3" s="13" t="n">
        <v>0</v>
      </c>
      <c r="C3" s="13" t="n">
        <v>0</v>
      </c>
      <c r="D3" s="13" t="n">
        <v>30</v>
      </c>
      <c r="E3" s="13" t="n">
        <v>60</v>
      </c>
      <c r="F3" s="13" t="n">
        <v>90</v>
      </c>
      <c r="G3" s="13" t="n">
        <v>120</v>
      </c>
      <c r="H3" s="13" t="n">
        <v>150</v>
      </c>
      <c r="I3" s="13" t="n">
        <v>180</v>
      </c>
      <c r="J3" s="13" t="n">
        <v>180</v>
      </c>
      <c r="K3" s="13" t="n">
        <v>200</v>
      </c>
      <c r="L3" s="13" t="n">
        <v>200</v>
      </c>
      <c r="M3" s="13" t="n">
        <v>200</v>
      </c>
      <c r="N3" s="14" t="n">
        <v>1410</v>
      </c>
    </row>
    <row r="4">
      <c r="A4" s="8" t="inlineStr">
        <is>
          <t>② 広告タイアップ</t>
        </is>
      </c>
      <c r="B4" s="15" t="n">
        <v>0</v>
      </c>
      <c r="C4" s="15" t="n">
        <v>0</v>
      </c>
      <c r="D4" s="15" t="n">
        <v>0</v>
      </c>
      <c r="E4" s="15" t="n">
        <v>200</v>
      </c>
      <c r="F4" s="15" t="n">
        <v>200</v>
      </c>
      <c r="G4" s="15" t="n">
        <v>300</v>
      </c>
      <c r="H4" s="15" t="n">
        <v>300</v>
      </c>
      <c r="I4" s="15" t="n">
        <v>400</v>
      </c>
      <c r="J4" s="15" t="n">
        <v>400</v>
      </c>
      <c r="K4" s="15" t="n">
        <v>400</v>
      </c>
      <c r="L4" s="15" t="n">
        <v>500</v>
      </c>
      <c r="M4" s="15" t="n">
        <v>500</v>
      </c>
      <c r="N4" s="16" t="n">
        <v>3200</v>
      </c>
    </row>
    <row r="5">
      <c r="A5" s="7" t="inlineStr">
        <is>
          <t>③ WESELL グッズ販売</t>
        </is>
      </c>
      <c r="B5" s="13" t="n">
        <v>0</v>
      </c>
      <c r="C5" s="13" t="n">
        <v>0</v>
      </c>
      <c r="D5" s="13" t="n">
        <v>20</v>
      </c>
      <c r="E5" s="13" t="n">
        <v>50</v>
      </c>
      <c r="F5" s="13" t="n">
        <v>80</v>
      </c>
      <c r="G5" s="13" t="n">
        <v>100</v>
      </c>
      <c r="H5" s="13" t="n">
        <v>100</v>
      </c>
      <c r="I5" s="13" t="n">
        <v>120</v>
      </c>
      <c r="J5" s="13" t="n">
        <v>150</v>
      </c>
      <c r="K5" s="13" t="n">
        <v>150</v>
      </c>
      <c r="L5" s="13" t="n">
        <v>200</v>
      </c>
      <c r="M5" s="13" t="n">
        <v>230</v>
      </c>
      <c r="N5" s="14" t="n">
        <v>1200</v>
      </c>
    </row>
    <row r="6">
      <c r="A6" s="8" t="inlineStr">
        <is>
          <t>④ IPライセンス</t>
        </is>
      </c>
      <c r="B6" s="15" t="n">
        <v>0</v>
      </c>
      <c r="C6" s="15" t="n">
        <v>0</v>
      </c>
      <c r="D6" s="15" t="n">
        <v>0</v>
      </c>
      <c r="E6" s="15" t="n">
        <v>30</v>
      </c>
      <c r="F6" s="15" t="n">
        <v>30</v>
      </c>
      <c r="G6" s="15" t="n">
        <v>50</v>
      </c>
      <c r="H6" s="15" t="n">
        <v>50</v>
      </c>
      <c r="I6" s="15" t="n">
        <v>60</v>
      </c>
      <c r="J6" s="15" t="n">
        <v>80</v>
      </c>
      <c r="K6" s="15" t="n">
        <v>80</v>
      </c>
      <c r="L6" s="15" t="n">
        <v>100</v>
      </c>
      <c r="M6" s="15" t="n">
        <v>120</v>
      </c>
      <c r="N6" s="16" t="n">
        <v>600</v>
      </c>
    </row>
    <row r="7">
      <c r="A7" s="7" t="inlineStr">
        <is>
          <t>⑤ ギャル旅タイアップ</t>
        </is>
      </c>
      <c r="B7" s="13" t="n">
        <v>0</v>
      </c>
      <c r="C7" s="13" t="n">
        <v>0</v>
      </c>
      <c r="D7" s="13" t="n">
        <v>0</v>
      </c>
      <c r="E7" s="13" t="n">
        <v>0</v>
      </c>
      <c r="F7" s="13" t="n">
        <v>400</v>
      </c>
      <c r="G7" s="13" t="n">
        <v>0</v>
      </c>
      <c r="H7" s="13" t="n">
        <v>0</v>
      </c>
      <c r="I7" s="13" t="n">
        <v>400</v>
      </c>
      <c r="J7" s="13" t="n">
        <v>0</v>
      </c>
      <c r="K7" s="13" t="n">
        <v>0</v>
      </c>
      <c r="L7" s="13" t="n">
        <v>0</v>
      </c>
      <c r="M7" s="13" t="n">
        <v>0</v>
      </c>
      <c r="N7" s="14" t="n">
        <v>800</v>
      </c>
    </row>
    <row r="8" ht="4" customHeight="1"/>
    <row r="9">
      <c r="A9" s="17" t="inlineStr">
        <is>
          <t>月次合計</t>
        </is>
      </c>
      <c r="B9" s="18" t="n">
        <v>0</v>
      </c>
      <c r="C9" s="18" t="n">
        <v>0</v>
      </c>
      <c r="D9" s="18" t="n">
        <v>50</v>
      </c>
      <c r="E9" s="18" t="n">
        <v>340</v>
      </c>
      <c r="F9" s="18" t="n">
        <v>800</v>
      </c>
      <c r="G9" s="18" t="n">
        <v>570</v>
      </c>
      <c r="H9" s="18" t="n">
        <v>600</v>
      </c>
      <c r="I9" s="18" t="n">
        <v>1160</v>
      </c>
      <c r="J9" s="18" t="n">
        <v>810</v>
      </c>
      <c r="K9" s="18" t="n">
        <v>830</v>
      </c>
      <c r="L9" s="18" t="n">
        <v>1000</v>
      </c>
      <c r="M9" s="18" t="n">
        <v>1050</v>
      </c>
      <c r="N9" s="18" t="n">
        <v>7210</v>
      </c>
    </row>
    <row r="11">
      <c r="A11" s="19" t="inlineStr">
        <is>
          <t>累計売上</t>
        </is>
      </c>
      <c r="B11" s="14" t="n">
        <v>0</v>
      </c>
      <c r="C11" s="14" t="n">
        <v>0</v>
      </c>
      <c r="D11" s="14" t="n">
        <v>50</v>
      </c>
      <c r="E11" s="14" t="n">
        <v>390</v>
      </c>
      <c r="F11" s="14" t="n">
        <v>1190</v>
      </c>
      <c r="G11" s="14" t="n">
        <v>1760</v>
      </c>
      <c r="H11" s="14" t="n">
        <v>2360</v>
      </c>
      <c r="I11" s="14" t="n">
        <v>3520</v>
      </c>
      <c r="J11" s="14" t="n">
        <v>4330</v>
      </c>
      <c r="K11" s="14" t="n">
        <v>5160</v>
      </c>
      <c r="L11" s="14" t="n">
        <v>6160</v>
      </c>
      <c r="M11" s="14" t="n">
        <v>7210</v>
      </c>
      <c r="N11" s="14" t="n">
        <v>7210</v>
      </c>
    </row>
    <row r="13">
      <c r="A13" s="3" t="inlineStr">
        <is>
          <t>■ フェーズ概要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5" t="n"/>
    </row>
    <row r="14" ht="20" customHeight="1">
      <c r="A14" s="19" t="inlineStr">
        <is>
          <t>Q1（1〜3月）</t>
        </is>
      </c>
      <c r="B14" s="10" t="inlineStr">
        <is>
          <t>仕込み期：3社契約締結、TikTokアカウント開設、初期コンテンツ10本制作、ENTIAL営業準備</t>
        </is>
      </c>
    </row>
    <row r="15" ht="20" customHeight="1">
      <c r="A15" s="19" t="inlineStr">
        <is>
          <t>Q2（4〜6月）</t>
        </is>
      </c>
      <c r="B15" s="10" t="inlineStr">
        <is>
          <t>初動期：インバウンド体験開始、初回タイアップ受注、WESELL立ち上げ</t>
        </is>
      </c>
    </row>
    <row r="16" ht="20" customHeight="1">
      <c r="A16" s="19" t="inlineStr">
        <is>
          <t>Q3（7〜9月）</t>
        </is>
      </c>
      <c r="B16" s="10" t="inlineStr">
        <is>
          <t>成長期：月次タイアップ安定化、フォロワー成長、ギャル旅1件目</t>
        </is>
      </c>
    </row>
    <row r="17" ht="20" customHeight="1">
      <c r="A17" s="19" t="inlineStr">
        <is>
          <t>Q4（10〜12月）</t>
        </is>
      </c>
      <c r="B17" s="10" t="inlineStr">
        <is>
          <t>本格稼働：複数案件並走、WESELL拡大、ライセンス契約増加</t>
        </is>
      </c>
    </row>
  </sheetData>
  <mergeCells count="6">
    <mergeCell ref="B16:N16"/>
    <mergeCell ref="B14:N14"/>
    <mergeCell ref="B17:N17"/>
    <mergeCell ref="B15:N15"/>
    <mergeCell ref="A13:N13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2" t="inlineStr">
        <is>
          <t>3カ年事業計画（単位：万円）</t>
        </is>
      </c>
    </row>
    <row r="3">
      <c r="A3" s="3" t="inlineStr">
        <is>
          <t>■ 売上計画</t>
        </is>
      </c>
      <c r="B3" s="4" t="n"/>
      <c r="C3" s="4" t="n"/>
      <c r="D3" s="4" t="n"/>
      <c r="E3" s="4" t="n"/>
      <c r="F3" s="5" t="n"/>
    </row>
    <row r="4">
      <c r="A4" s="6" t="inlineStr">
        <is>
          <t>収益源</t>
        </is>
      </c>
      <c r="B4" s="6" t="inlineStr">
        <is>
          <t>Year1</t>
        </is>
      </c>
      <c r="C4" s="6" t="inlineStr">
        <is>
          <t>Year2</t>
        </is>
      </c>
      <c r="D4" s="6" t="inlineStr">
        <is>
          <t>Year3</t>
        </is>
      </c>
      <c r="E4" s="6" t="inlineStr">
        <is>
          <t>Year1→2成長率</t>
        </is>
      </c>
      <c r="F4" s="6" t="inlineStr">
        <is>
          <t>Year2→3成長率</t>
        </is>
      </c>
    </row>
    <row r="5">
      <c r="A5" s="7" t="inlineStr">
        <is>
          <t>① インバウンド体験</t>
        </is>
      </c>
      <c r="B5" s="13" t="n">
        <v>1800</v>
      </c>
      <c r="C5" s="13" t="n">
        <v>4800</v>
      </c>
      <c r="D5" s="13" t="n">
        <v>15000</v>
      </c>
      <c r="E5" s="20" t="inlineStr">
        <is>
          <t>166%</t>
        </is>
      </c>
      <c r="F5" s="20" t="inlineStr">
        <is>
          <t>212%</t>
        </is>
      </c>
    </row>
    <row r="6">
      <c r="A6" s="8" t="inlineStr">
        <is>
          <t>② 広告タイアップ</t>
        </is>
      </c>
      <c r="B6" s="15" t="n">
        <v>3600</v>
      </c>
      <c r="C6" s="15" t="n">
        <v>10800</v>
      </c>
      <c r="D6" s="15" t="n">
        <v>33600</v>
      </c>
      <c r="E6" s="21" t="inlineStr">
        <is>
          <t>200%</t>
        </is>
      </c>
      <c r="F6" s="21" t="inlineStr">
        <is>
          <t>211%</t>
        </is>
      </c>
    </row>
    <row r="7">
      <c r="A7" s="7" t="inlineStr">
        <is>
          <t>③ WESELL グッズ販売</t>
        </is>
      </c>
      <c r="B7" s="13" t="n">
        <v>1200</v>
      </c>
      <c r="C7" s="13" t="n">
        <v>6000</v>
      </c>
      <c r="D7" s="13" t="n">
        <v>24000</v>
      </c>
      <c r="E7" s="20" t="inlineStr">
        <is>
          <t>400%</t>
        </is>
      </c>
      <c r="F7" s="20" t="inlineStr">
        <is>
          <t>300%</t>
        </is>
      </c>
    </row>
    <row r="8">
      <c r="A8" s="8" t="inlineStr">
        <is>
          <t>④ IPライセンス</t>
        </is>
      </c>
      <c r="B8" s="15" t="n">
        <v>600</v>
      </c>
      <c r="C8" s="15" t="n">
        <v>1200</v>
      </c>
      <c r="D8" s="15" t="n">
        <v>6000</v>
      </c>
      <c r="E8" s="21" t="inlineStr">
        <is>
          <t>100%</t>
        </is>
      </c>
      <c r="F8" s="21" t="inlineStr">
        <is>
          <t>400%</t>
        </is>
      </c>
    </row>
    <row r="9">
      <c r="A9" s="7" t="inlineStr">
        <is>
          <t>⑤ ギャル旅タイアップ</t>
        </is>
      </c>
      <c r="B9" s="13" t="n">
        <v>800</v>
      </c>
      <c r="C9" s="13" t="n">
        <v>2500</v>
      </c>
      <c r="D9" s="13" t="n">
        <v>6000</v>
      </c>
      <c r="E9" s="20" t="inlineStr">
        <is>
          <t>212%</t>
        </is>
      </c>
      <c r="F9" s="20" t="inlineStr">
        <is>
          <t>140%</t>
        </is>
      </c>
    </row>
    <row r="10">
      <c r="A10" s="17" t="inlineStr">
        <is>
          <t>売上合計</t>
        </is>
      </c>
      <c r="B10" s="18" t="n">
        <v>8000</v>
      </c>
      <c r="C10" s="18" t="n">
        <v>25300</v>
      </c>
      <c r="D10" s="18" t="n">
        <v>84600</v>
      </c>
      <c r="E10" s="22" t="inlineStr">
        <is>
          <t>216%</t>
        </is>
      </c>
      <c r="F10" s="22" t="inlineStr">
        <is>
          <t>234%</t>
        </is>
      </c>
    </row>
    <row r="12">
      <c r="A12" s="3" t="inlineStr">
        <is>
          <t>■ 収益分配計画（推定）</t>
        </is>
      </c>
      <c r="B12" s="4" t="n"/>
      <c r="C12" s="4" t="n"/>
      <c r="D12" s="4" t="n"/>
      <c r="E12" s="4" t="n"/>
      <c r="F12" s="5" t="n"/>
    </row>
    <row r="13">
      <c r="A13" s="6" t="inlineStr">
        <is>
          <t>項目</t>
        </is>
      </c>
      <c r="B13" s="6" t="inlineStr">
        <is>
          <t>Year1</t>
        </is>
      </c>
      <c r="C13" s="6" t="inlineStr">
        <is>
          <t>Year2</t>
        </is>
      </c>
      <c r="D13" s="6" t="inlineStr">
        <is>
          <t>Year3</t>
        </is>
      </c>
      <c r="E13" s="6" t="inlineStr">
        <is>
          <t>割合（Y3）</t>
        </is>
      </c>
      <c r="F13" s="6" t="inlineStr">
        <is>
          <t>備考</t>
        </is>
      </c>
    </row>
    <row r="14">
      <c r="A14" s="17" t="inlineStr">
        <is>
          <t>売上合計</t>
        </is>
      </c>
      <c r="B14" s="18" t="n">
        <v>8000</v>
      </c>
      <c r="C14" s="18" t="n">
        <v>25300</v>
      </c>
      <c r="D14" s="18" t="n">
        <v>84600</v>
      </c>
      <c r="E14" s="17" t="inlineStr">
        <is>
          <t>100%</t>
        </is>
      </c>
      <c r="F14" s="17" t="inlineStr"/>
    </row>
    <row r="15">
      <c r="A15" s="7" t="inlineStr">
        <is>
          <t>ギャル協会 取り分</t>
        </is>
      </c>
      <c r="B15" s="13" t="n">
        <v>2560</v>
      </c>
      <c r="C15" s="13" t="n">
        <v>8096</v>
      </c>
      <c r="D15" s="13" t="n">
        <v>27072</v>
      </c>
      <c r="E15" s="7" t="inlineStr">
        <is>
          <t>約32%</t>
        </is>
      </c>
      <c r="F15" s="7" t="inlineStr">
        <is>
          <t>出演・監修・IP料</t>
        </is>
      </c>
    </row>
    <row r="16">
      <c r="A16" s="8" t="inlineStr">
        <is>
          <t>サイバーバズ 取り分</t>
        </is>
      </c>
      <c r="B16" s="15" t="n">
        <v>4000</v>
      </c>
      <c r="C16" s="15" t="n">
        <v>12650</v>
      </c>
      <c r="D16" s="15" t="n">
        <v>42300</v>
      </c>
      <c r="E16" s="8" t="inlineStr">
        <is>
          <t>約50%</t>
        </is>
      </c>
      <c r="F16" s="8" t="inlineStr">
        <is>
          <t>運営・制作費・利益</t>
        </is>
      </c>
    </row>
    <row r="17">
      <c r="A17" s="7" t="inlineStr">
        <is>
          <t>ENTIAL 取り分</t>
        </is>
      </c>
      <c r="B17" s="13" t="n">
        <v>1040</v>
      </c>
      <c r="C17" s="13" t="n">
        <v>3289</v>
      </c>
      <c r="D17" s="13" t="n">
        <v>10998</v>
      </c>
      <c r="E17" s="7" t="inlineStr">
        <is>
          <t>約13%</t>
        </is>
      </c>
      <c r="F17" s="7" t="inlineStr">
        <is>
          <t>PM・営業手数料</t>
        </is>
      </c>
    </row>
    <row r="18">
      <c r="A18" s="8" t="inlineStr">
        <is>
          <t>制作費・運営費（バズ負担）</t>
        </is>
      </c>
      <c r="B18" s="15" t="n">
        <v>2800</v>
      </c>
      <c r="C18" s="15" t="n">
        <v>7590</v>
      </c>
      <c r="D18" s="15" t="n">
        <v>21150</v>
      </c>
      <c r="E18" s="8" t="inlineStr">
        <is>
          <t>約25%</t>
        </is>
      </c>
      <c r="F18" s="8" t="inlineStr">
        <is>
          <t>売上規模拡大で比率低下</t>
        </is>
      </c>
    </row>
    <row r="20">
      <c r="A20" s="3" t="inlineStr">
        <is>
          <t>■ ロードマップ</t>
        </is>
      </c>
      <c r="B20" s="4" t="n"/>
      <c r="C20" s="4" t="n"/>
      <c r="D20" s="4" t="n"/>
      <c r="E20" s="4" t="n"/>
      <c r="F20" s="5" t="n"/>
    </row>
    <row r="21">
      <c r="A21" s="6" t="inlineStr">
        <is>
          <t>フェーズ</t>
        </is>
      </c>
      <c r="B21" s="6" t="inlineStr">
        <is>
          <t>期間</t>
        </is>
      </c>
      <c r="C21" s="6" t="inlineStr">
        <is>
          <t>主要アクション</t>
        </is>
      </c>
      <c r="D21" s="4" t="n"/>
      <c r="E21" s="5" t="n"/>
      <c r="F21" s="6" t="inlineStr">
        <is>
          <t>マイルストーン</t>
        </is>
      </c>
    </row>
    <row r="22" ht="45" customHeight="1">
      <c r="A22" s="23" t="inlineStr">
        <is>
          <t>Phase 1
仕込み期</t>
        </is>
      </c>
      <c r="B22" s="20" t="inlineStr">
        <is>
          <t>Year1 Q1-Q2</t>
        </is>
      </c>
      <c r="C22" s="9" t="inlineStr">
        <is>
          <t>3社契約締結 / TikTok開設 / ppgalclub参考に渋谷体験商品化 / ENTIAL営業代理店開拓</t>
        </is>
      </c>
      <c r="F22" s="9" t="inlineStr">
        <is>
          <t>タイアップ初受注 / インバウンド体験50人/月</t>
        </is>
      </c>
    </row>
    <row r="23" ht="45" customHeight="1">
      <c r="A23" s="24" t="inlineStr">
        <is>
          <t>Phase 2
成長期</t>
        </is>
      </c>
      <c r="B23" s="21" t="inlineStr">
        <is>
          <t>Year1 Q3 〜 Year2</t>
        </is>
      </c>
      <c r="C23" s="10" t="inlineStr">
        <is>
          <t>TikTokフォロワー1万人 / WESELL本格稼働 / 自治体案件獲得 / IG Reels展開</t>
        </is>
      </c>
      <c r="F23" s="10" t="inlineStr">
        <is>
          <t>月次売上1,000万安定 / フォロワー10万人</t>
        </is>
      </c>
    </row>
    <row r="24" ht="45" customHeight="1">
      <c r="A24" s="23" t="inlineStr">
        <is>
          <t>Phase 3
スケール期</t>
        </is>
      </c>
      <c r="B24" s="20" t="inlineStr">
        <is>
          <t>Year3</t>
        </is>
      </c>
      <c r="C24" s="9" t="inlineStr">
        <is>
          <t>米国WESELL拡大 / ブラジル・スペインIG展開 / 海外ライセンス / 神7組成</t>
        </is>
      </c>
      <c r="F24" s="9" t="inlineStr">
        <is>
          <t>年間10億達成 / 海外IPライセンス契約5社以上</t>
        </is>
      </c>
    </row>
  </sheetData>
  <mergeCells count="8">
    <mergeCell ref="A1:F1"/>
    <mergeCell ref="C23:E23"/>
    <mergeCell ref="C22:E22"/>
    <mergeCell ref="A12:F12"/>
    <mergeCell ref="A3:F3"/>
    <mergeCell ref="C21:E21"/>
    <mergeCell ref="A20:F20"/>
    <mergeCell ref="C24:E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2" t="inlineStr">
        <is>
          <t>3カ年 収益シミュレーション</t>
        </is>
      </c>
    </row>
    <row r="2">
      <c r="A2" s="6" t="inlineStr">
        <is>
          <t>収益源</t>
        </is>
      </c>
      <c r="B2" s="6" t="inlineStr">
        <is>
          <t>Year1（万円）</t>
        </is>
      </c>
      <c r="C2" s="6" t="inlineStr">
        <is>
          <t>Year2（万円）</t>
        </is>
      </c>
      <c r="D2" s="6" t="inlineStr">
        <is>
          <t>Year3（万円）</t>
        </is>
      </c>
    </row>
    <row r="3">
      <c r="A3" s="7" t="inlineStr">
        <is>
          <t>① インバウンド体験</t>
        </is>
      </c>
      <c r="B3" s="13" t="n">
        <v>1800</v>
      </c>
      <c r="C3" s="13" t="n">
        <v>4800</v>
      </c>
      <c r="D3" s="13" t="n">
        <v>15000</v>
      </c>
    </row>
    <row r="4">
      <c r="A4" s="8" t="inlineStr">
        <is>
          <t>② 広告タイアップ</t>
        </is>
      </c>
      <c r="B4" s="15" t="n">
        <v>3600</v>
      </c>
      <c r="C4" s="15" t="n">
        <v>10800</v>
      </c>
      <c r="D4" s="15" t="n">
        <v>33600</v>
      </c>
    </row>
    <row r="5">
      <c r="A5" s="7" t="inlineStr">
        <is>
          <t>③ WESELL グッズ販売</t>
        </is>
      </c>
      <c r="B5" s="13" t="n">
        <v>1200</v>
      </c>
      <c r="C5" s="13" t="n">
        <v>6000</v>
      </c>
      <c r="D5" s="13" t="n">
        <v>24000</v>
      </c>
    </row>
    <row r="6">
      <c r="A6" s="8" t="inlineStr">
        <is>
          <t>④ IPライセンス</t>
        </is>
      </c>
      <c r="B6" s="15" t="n">
        <v>600</v>
      </c>
      <c r="C6" s="15" t="n">
        <v>1200</v>
      </c>
      <c r="D6" s="15" t="n">
        <v>6000</v>
      </c>
    </row>
    <row r="7">
      <c r="A7" s="7" t="inlineStr">
        <is>
          <t>⑤ ギャル旅タイアップ</t>
        </is>
      </c>
      <c r="B7" s="13" t="n">
        <v>800</v>
      </c>
      <c r="C7" s="13" t="n">
        <v>2500</v>
      </c>
      <c r="D7" s="13" t="n">
        <v>6000</v>
      </c>
    </row>
    <row r="8">
      <c r="A8" s="17" t="inlineStr">
        <is>
          <t>合計</t>
        </is>
      </c>
      <c r="B8" s="18" t="n">
        <v>8000</v>
      </c>
      <c r="C8" s="18" t="n">
        <v>25300</v>
      </c>
      <c r="D8" s="18" t="n">
        <v>84600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2026-04-14T08:47:03Z</dcterms:created>
  <dcterms:modified xmlns:dcterms="http://purl.org/dc/terms/" xmlns:xsi="http://www.w3.org/2001/XMLSchema-instance" xsi:type="dcterms:W3CDTF">2026-04-14T08:47:03Z</dcterms:modified>
</cp:coreProperties>
</file>