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1_月次PL_大成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6B7280"/>
      <sz val="8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11827"/>
      <sz val="9"/>
    </font>
    <font>
      <name val="Calibri"/>
      <color rgb="00374151"/>
      <sz val="9"/>
    </font>
    <font>
      <name val="Calibri"/>
      <i val="1"/>
      <color rgb="006B7280"/>
      <sz val="8"/>
    </font>
    <font>
      <name val="Calibri"/>
      <color rgb="006B7280"/>
      <sz val="9"/>
    </font>
    <font>
      <name val="Calibri"/>
      <b val="1"/>
      <color rgb="00111827"/>
      <sz val="9"/>
    </font>
    <font>
      <name val="Calibri"/>
      <b val="1"/>
      <color rgb="00059669"/>
      <sz val="9"/>
    </font>
    <font>
      <name val="Calibri"/>
      <color rgb="00059669"/>
      <sz val="9"/>
    </font>
    <font>
      <name val="Calibri"/>
      <i val="1"/>
      <color rgb="006B7280"/>
      <sz val="9"/>
    </font>
    <font>
      <name val="Calibri"/>
      <b val="1"/>
      <color rgb="00DC2626"/>
      <sz val="9"/>
    </font>
    <font>
      <name val="Calibri"/>
      <color rgb="00DC2626"/>
      <sz val="9"/>
    </font>
    <font>
      <name val="Calibri"/>
      <b val="1"/>
      <color rgb="00111827"/>
      <sz val="10"/>
    </font>
    <font>
      <name val="Calibri"/>
      <b val="1"/>
      <color rgb="00059669"/>
      <sz val="11"/>
    </font>
    <font>
      <name val="Calibri"/>
      <b val="1"/>
      <color rgb="00111827"/>
      <sz val="11"/>
    </font>
  </fonts>
  <fills count="16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9FAFB"/>
      </patternFill>
    </fill>
    <fill>
      <patternFill patternType="solid">
        <fgColor rgb="002563EB"/>
      </patternFill>
    </fill>
    <fill>
      <patternFill patternType="solid">
        <fgColor rgb="00EFF6FF"/>
      </patternFill>
    </fill>
    <fill>
      <patternFill patternType="solid">
        <fgColor rgb="00D1FAE5"/>
      </patternFill>
    </fill>
    <fill>
      <patternFill patternType="solid">
        <fgColor rgb="0092400E"/>
      </patternFill>
    </fill>
    <fill>
      <patternFill patternType="solid">
        <fgColor rgb="00FEF3C7"/>
      </patternFill>
    </fill>
    <fill>
      <patternFill patternType="solid">
        <fgColor rgb="006B21A8"/>
      </patternFill>
    </fill>
    <fill>
      <patternFill patternType="solid">
        <fgColor rgb="00F5F3FF"/>
      </patternFill>
    </fill>
    <fill>
      <patternFill patternType="solid">
        <fgColor rgb="00065F46"/>
      </patternFill>
    </fill>
    <fill>
      <patternFill patternType="solid">
        <fgColor rgb="00ECFDF5"/>
      </patternFill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F3F4F6"/>
      </patternFill>
    </fill>
  </fills>
  <borders count="12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thin">
        <color rgb="001E3A8A"/>
      </top>
      <bottom style="thin">
        <color rgb="001E3A8A"/>
      </bottom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92400E"/>
      </left>
      <right style="thin">
        <color rgb="0092400E"/>
      </right>
      <top style="thin">
        <color rgb="0092400E"/>
      </top>
      <bottom style="thin">
        <color rgb="0092400E"/>
      </bottom>
    </border>
    <border>
      <left style="thin">
        <color rgb="006B21A8"/>
      </left>
      <right style="thin">
        <color rgb="006B21A8"/>
      </right>
      <top style="thin">
        <color rgb="006B21A8"/>
      </top>
      <bottom style="thin">
        <color rgb="006B21A8"/>
      </bottom>
    </border>
    <border>
      <left style="thin">
        <color rgb="00065F46"/>
      </left>
      <right style="thin">
        <color rgb="00065F46"/>
      </right>
      <top style="thin">
        <color rgb="00065F46"/>
      </top>
      <bottom style="thin">
        <color rgb="00065F46"/>
      </bottom>
    </border>
    <border>
      <left style="thin">
        <color rgb="000F172A"/>
      </left>
      <right style="thin">
        <color rgb="000F172A"/>
      </right>
      <top style="thin">
        <color rgb="000F172A"/>
      </top>
      <bottom style="thin">
        <color rgb="000F172A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3" applyAlignment="1" pivotButton="0" quotePrefix="0" xfId="0">
      <alignment horizontal="left" vertical="center"/>
    </xf>
    <xf numFmtId="0" fontId="6" fillId="5" borderId="3" applyAlignment="1" pivotButton="0" quotePrefix="0" xfId="0">
      <alignment horizontal="left" vertical="center"/>
    </xf>
    <xf numFmtId="3" fontId="5" fillId="5" borderId="3" applyAlignment="1" pivotButton="0" quotePrefix="0" xfId="0">
      <alignment horizontal="right" vertical="center"/>
    </xf>
    <xf numFmtId="0" fontId="7" fillId="5" borderId="3" applyAlignment="1" pivotButton="0" quotePrefix="0" xfId="0">
      <alignment horizontal="left" vertical="center"/>
    </xf>
    <xf numFmtId="0" fontId="8" fillId="5" borderId="3" applyAlignment="1" pivotButton="0" quotePrefix="0" xfId="0">
      <alignment horizontal="right" vertical="center"/>
    </xf>
    <xf numFmtId="0" fontId="5" fillId="6" borderId="3" applyAlignment="1" pivotButton="0" quotePrefix="0" xfId="0">
      <alignment horizontal="left" vertical="center"/>
    </xf>
    <xf numFmtId="0" fontId="9" fillId="6" borderId="3" applyAlignment="1" pivotButton="0" quotePrefix="0" xfId="0">
      <alignment horizontal="left" vertical="center"/>
    </xf>
    <xf numFmtId="3" fontId="9" fillId="6" borderId="3" applyAlignment="1" pivotButton="0" quotePrefix="0" xfId="0">
      <alignment horizontal="right" vertical="center"/>
    </xf>
    <xf numFmtId="3" fontId="10" fillId="6" borderId="3" applyAlignment="1" pivotButton="0" quotePrefix="0" xfId="0">
      <alignment horizontal="right" vertical="center"/>
    </xf>
    <xf numFmtId="0" fontId="7" fillId="6" borderId="3" applyAlignment="1" pivotButton="0" quotePrefix="0" xfId="0">
      <alignment horizontal="left" vertical="center"/>
    </xf>
    <xf numFmtId="0" fontId="4" fillId="7" borderId="4" applyAlignment="1" pivotButton="0" quotePrefix="0" xfId="0">
      <alignment horizontal="left" vertical="center"/>
    </xf>
    <xf numFmtId="0" fontId="5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3" fontId="5" fillId="8" borderId="3" applyAlignment="1" pivotButton="0" quotePrefix="0" xfId="0">
      <alignment horizontal="right" vertical="center"/>
    </xf>
    <xf numFmtId="0" fontId="7" fillId="8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8" fillId="6" borderId="3" applyAlignment="1" pivotButton="0" quotePrefix="0" xfId="0">
      <alignment horizontal="right" vertical="center"/>
    </xf>
    <xf numFmtId="0" fontId="11" fillId="6" borderId="3" applyAlignment="1" pivotButton="0" quotePrefix="0" xfId="0">
      <alignment horizontal="right" vertical="center"/>
    </xf>
    <xf numFmtId="0" fontId="12" fillId="6" borderId="3" applyAlignment="1" pivotButton="0" quotePrefix="0" xfId="0">
      <alignment horizontal="right" vertical="center"/>
    </xf>
    <xf numFmtId="0" fontId="4" fillId="9" borderId="5" applyAlignment="1" pivotButton="0" quotePrefix="0" xfId="0">
      <alignment horizontal="left" vertical="center"/>
    </xf>
    <xf numFmtId="0" fontId="5" fillId="10" borderId="3" applyAlignment="1" pivotButton="0" quotePrefix="0" xfId="0">
      <alignment horizontal="left" vertical="center"/>
    </xf>
    <xf numFmtId="0" fontId="6" fillId="10" borderId="3" applyAlignment="1" pivotButton="0" quotePrefix="0" xfId="0">
      <alignment horizontal="left" vertical="center"/>
    </xf>
    <xf numFmtId="3" fontId="5" fillId="10" borderId="3" applyAlignment="1" pivotButton="0" quotePrefix="0" xfId="0">
      <alignment horizontal="right" vertical="center"/>
    </xf>
    <xf numFmtId="0" fontId="7" fillId="10" borderId="3" applyAlignment="1" pivotButton="0" quotePrefix="0" xfId="0">
      <alignment horizontal="left" vertical="center"/>
    </xf>
    <xf numFmtId="0" fontId="4" fillId="11" borderId="6" applyAlignment="1" pivotButton="0" quotePrefix="0" xfId="0">
      <alignment horizontal="left" vertical="center"/>
    </xf>
    <xf numFmtId="0" fontId="5" fillId="12" borderId="3" applyAlignment="1" pivotButton="0" quotePrefix="0" xfId="0">
      <alignment horizontal="left" vertical="center"/>
    </xf>
    <xf numFmtId="0" fontId="9" fillId="12" borderId="3" applyAlignment="1" pivotButton="0" quotePrefix="0" xfId="0">
      <alignment horizontal="left" vertical="center"/>
    </xf>
    <xf numFmtId="3" fontId="13" fillId="12" borderId="3" applyAlignment="1" pivotButton="0" quotePrefix="0" xfId="0">
      <alignment horizontal="right" vertical="center"/>
    </xf>
    <xf numFmtId="3" fontId="10" fillId="12" borderId="3" applyAlignment="1" pivotButton="0" quotePrefix="0" xfId="0">
      <alignment horizontal="right" vertical="center"/>
    </xf>
    <xf numFmtId="3" fontId="9" fillId="12" borderId="3" applyAlignment="1" pivotButton="0" quotePrefix="0" xfId="0">
      <alignment horizontal="right" vertical="center"/>
    </xf>
    <xf numFmtId="0" fontId="7" fillId="12" borderId="3" applyAlignment="1" pivotButton="0" quotePrefix="0" xfId="0">
      <alignment horizontal="left" vertical="center"/>
    </xf>
    <xf numFmtId="0" fontId="6" fillId="12" borderId="3" applyAlignment="1" pivotButton="0" quotePrefix="0" xfId="0">
      <alignment horizontal="left" vertical="center"/>
    </xf>
    <xf numFmtId="0" fontId="8" fillId="12" borderId="3" applyAlignment="1" pivotButton="0" quotePrefix="0" xfId="0">
      <alignment horizontal="right" vertical="center"/>
    </xf>
    <xf numFmtId="0" fontId="14" fillId="12" borderId="3" applyAlignment="1" pivotButton="0" quotePrefix="0" xfId="0">
      <alignment horizontal="right" vertical="center"/>
    </xf>
    <xf numFmtId="0" fontId="11" fillId="12" borderId="3" applyAlignment="1" pivotButton="0" quotePrefix="0" xfId="0">
      <alignment horizontal="right" vertical="center"/>
    </xf>
    <xf numFmtId="0" fontId="12" fillId="12" borderId="3" applyAlignment="1" pivotButton="0" quotePrefix="0" xfId="0">
      <alignment horizontal="right" vertical="center"/>
    </xf>
    <xf numFmtId="3" fontId="14" fillId="12" borderId="3" applyAlignment="1" pivotButton="0" quotePrefix="0" xfId="0">
      <alignment horizontal="right" vertical="center"/>
    </xf>
    <xf numFmtId="3" fontId="5" fillId="12" borderId="3" applyAlignment="1" pivotButton="0" quotePrefix="0" xfId="0">
      <alignment horizontal="right" vertical="center"/>
    </xf>
    <xf numFmtId="0" fontId="4" fillId="13" borderId="7" applyAlignment="1" pivotButton="0" quotePrefix="0" xfId="0">
      <alignment horizontal="left" vertical="center"/>
    </xf>
    <xf numFmtId="0" fontId="5" fillId="14" borderId="3" applyAlignment="1" pivotButton="0" quotePrefix="0" xfId="0">
      <alignment horizontal="left" vertical="center"/>
    </xf>
    <xf numFmtId="0" fontId="6" fillId="14" borderId="3" applyAlignment="1" pivotButton="0" quotePrefix="0" xfId="0">
      <alignment horizontal="left" vertical="center"/>
    </xf>
    <xf numFmtId="0" fontId="8" fillId="14" borderId="3" applyAlignment="1" pivotButton="0" quotePrefix="0" xfId="0">
      <alignment horizontal="right" vertical="center"/>
    </xf>
    <xf numFmtId="0" fontId="7" fillId="14" borderId="3" applyAlignment="1" pivotButton="0" quotePrefix="0" xfId="0">
      <alignment horizontal="left" vertical="center"/>
    </xf>
    <xf numFmtId="0" fontId="15" fillId="3" borderId="3" applyAlignment="1" pivotButton="0" quotePrefix="0" xfId="0">
      <alignment horizontal="left" vertical="center"/>
    </xf>
    <xf numFmtId="0" fontId="16" fillId="3" borderId="3" applyAlignment="1" pivotButton="0" quotePrefix="0" xfId="0">
      <alignment horizontal="right" vertical="center"/>
    </xf>
    <xf numFmtId="0" fontId="0" fillId="0" borderId="10" pivotButton="0" quotePrefix="0" xfId="0"/>
    <xf numFmtId="0" fontId="0" fillId="0" borderId="11" pivotButton="0" quotePrefix="0" xfId="0"/>
    <xf numFmtId="0" fontId="12" fillId="3" borderId="3" applyAlignment="1" pivotButton="0" quotePrefix="0" xfId="0">
      <alignment horizontal="left" vertical="center"/>
    </xf>
    <xf numFmtId="0" fontId="17" fillId="3" borderId="3" applyAlignment="1" pivotButton="0" quotePrefix="0" xfId="0">
      <alignment horizontal="right" vertical="center"/>
    </xf>
    <xf numFmtId="0" fontId="7" fillId="1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35" customWidth="1" min="16" max="16"/>
  </cols>
  <sheetData>
    <row r="1" ht="28" customHeight="1">
      <c r="A1" s="1" t="inlineStr">
        <is>
          <t>損益計算書（P/L）　Year1 月次　①大成功パターン　単位：万円</t>
        </is>
      </c>
    </row>
    <row r="2" ht="18" customHeight="1">
      <c r="A2" s="2" t="inlineStr">
        <is>
          <t>【前提】TikTokフォロワー急伸、M4から受注開始　／　単価は仮置き（セル直接修正可）　／　サイバーバズ財務データ（SMM粗利率34.3%、SB粗利率51%）を参考</t>
        </is>
      </c>
    </row>
    <row r="4" ht="22" customHeight="1">
      <c r="A4" s="3" t="inlineStr"/>
      <c r="B4" s="3" t="inlineStr">
        <is>
          <t>項　目</t>
        </is>
      </c>
      <c r="C4" s="4" t="inlineStr">
        <is>
          <t>M1</t>
        </is>
      </c>
      <c r="D4" s="4" t="inlineStr">
        <is>
          <t>M2</t>
        </is>
      </c>
      <c r="E4" s="4" t="inlineStr">
        <is>
          <t>M3</t>
        </is>
      </c>
      <c r="F4" s="4" t="inlineStr">
        <is>
          <t>M4</t>
        </is>
      </c>
      <c r="G4" s="4" t="inlineStr">
        <is>
          <t>M5</t>
        </is>
      </c>
      <c r="H4" s="4" t="inlineStr">
        <is>
          <t>M6</t>
        </is>
      </c>
      <c r="I4" s="4" t="inlineStr">
        <is>
          <t>M7</t>
        </is>
      </c>
      <c r="J4" s="4" t="inlineStr">
        <is>
          <t>M8</t>
        </is>
      </c>
      <c r="K4" s="4" t="inlineStr">
        <is>
          <t>M9</t>
        </is>
      </c>
      <c r="L4" s="4" t="inlineStr">
        <is>
          <t>M10</t>
        </is>
      </c>
      <c r="M4" s="4" t="inlineStr">
        <is>
          <t>M11</t>
        </is>
      </c>
      <c r="N4" s="4" t="inlineStr">
        <is>
          <t>M12</t>
        </is>
      </c>
      <c r="O4" s="4" t="inlineStr">
        <is>
          <t>通期合計</t>
        </is>
      </c>
      <c r="P4" s="4" t="inlineStr">
        <is>
          <t>備考</t>
        </is>
      </c>
    </row>
    <row r="5" ht="20" customHeight="1">
      <c r="A5" s="5" t="inlineStr">
        <is>
          <t xml:space="preserve">  ▼ 売上高（Revenue）</t>
        </is>
      </c>
    </row>
    <row r="6" ht="17" customHeight="1">
      <c r="A6" s="6" t="inlineStr"/>
      <c r="B6" s="7" t="inlineStr">
        <is>
          <t xml:space="preserve">    ① インバウンド体験売上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n">
        <v>100</v>
      </c>
      <c r="G6" s="8" t="n">
        <v>160</v>
      </c>
      <c r="H6" s="8" t="n">
        <v>200</v>
      </c>
      <c r="I6" s="8" t="n">
        <v>300</v>
      </c>
      <c r="J6" s="8" t="n">
        <v>400</v>
      </c>
      <c r="K6" s="8" t="n">
        <v>460</v>
      </c>
      <c r="L6" s="8" t="n">
        <v>560</v>
      </c>
      <c r="M6" s="8" t="n">
        <v>640</v>
      </c>
      <c r="N6" s="8" t="n">
        <v>760</v>
      </c>
      <c r="O6" s="8" t="n">
        <v>3580</v>
      </c>
      <c r="P6" s="9" t="inlineStr">
        <is>
          <t>渋谷ギャル体験（ppgalclub参考）</t>
        </is>
      </c>
    </row>
    <row r="7" ht="17" customHeight="1">
      <c r="A7" s="6" t="inlineStr"/>
      <c r="B7" s="7" t="inlineStr">
        <is>
          <t xml:space="preserve">        　└ 月間体験人数（人）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-</t>
        </is>
      </c>
      <c r="F7" s="10" t="n">
        <v>50</v>
      </c>
      <c r="G7" s="10" t="n">
        <v>80</v>
      </c>
      <c r="H7" s="10" t="n">
        <v>100</v>
      </c>
      <c r="I7" s="10" t="n">
        <v>150</v>
      </c>
      <c r="J7" s="10" t="n">
        <v>200</v>
      </c>
      <c r="K7" s="10" t="n">
        <v>230</v>
      </c>
      <c r="L7" s="10" t="n">
        <v>280</v>
      </c>
      <c r="M7" s="10" t="n">
        <v>320</v>
      </c>
      <c r="N7" s="10" t="n">
        <v>380</v>
      </c>
      <c r="O7" s="10" t="n">
        <v>1790</v>
      </c>
      <c r="P7" s="9" t="inlineStr">
        <is>
          <t>KPI：月50→380人</t>
        </is>
      </c>
    </row>
    <row r="8" ht="17" customHeight="1">
      <c r="A8" s="6" t="inlineStr"/>
      <c r="B8" s="7" t="inlineStr">
        <is>
          <t xml:space="preserve">        　└ 単価（万円/人）</t>
        </is>
      </c>
      <c r="C8" s="10" t="n">
        <v>2</v>
      </c>
      <c r="D8" s="10" t="n">
        <v>2</v>
      </c>
      <c r="E8" s="10" t="n">
        <v>2</v>
      </c>
      <c r="F8" s="10" t="n">
        <v>2</v>
      </c>
      <c r="G8" s="10" t="n">
        <v>2</v>
      </c>
      <c r="H8" s="10" t="n">
        <v>2</v>
      </c>
      <c r="I8" s="10" t="n">
        <v>2</v>
      </c>
      <c r="J8" s="10" t="n">
        <v>2</v>
      </c>
      <c r="K8" s="10" t="n">
        <v>2</v>
      </c>
      <c r="L8" s="10" t="n">
        <v>2</v>
      </c>
      <c r="M8" s="10" t="n">
        <v>2</v>
      </c>
      <c r="N8" s="10" t="n">
        <v>2</v>
      </c>
      <c r="O8" s="10" t="n">
        <v>24</v>
      </c>
      <c r="P8" s="9" t="inlineStr">
        <is>
          <t>仮置き：¥20,000/人</t>
        </is>
      </c>
    </row>
    <row r="9" ht="17" customHeight="1">
      <c r="A9" s="6" t="inlineStr"/>
      <c r="B9" s="7" t="inlineStr">
        <is>
          <t xml:space="preserve">    ② 広告タイアップ売上</t>
        </is>
      </c>
      <c r="C9" s="8" t="inlineStr">
        <is>
          <t>-</t>
        </is>
      </c>
      <c r="D9" s="8" t="inlineStr">
        <is>
          <t>-</t>
        </is>
      </c>
      <c r="E9" s="8" t="inlineStr">
        <is>
          <t>-</t>
        </is>
      </c>
      <c r="F9" s="8" t="n">
        <v>300</v>
      </c>
      <c r="G9" s="8" t="n">
        <v>300</v>
      </c>
      <c r="H9" s="8" t="n">
        <v>600</v>
      </c>
      <c r="I9" s="8" t="n">
        <v>600</v>
      </c>
      <c r="J9" s="8" t="n">
        <v>900</v>
      </c>
      <c r="K9" s="8" t="n">
        <v>900</v>
      </c>
      <c r="L9" s="8" t="n">
        <v>1200</v>
      </c>
      <c r="M9" s="8" t="n">
        <v>1200</v>
      </c>
      <c r="N9" s="8" t="n">
        <v>1500</v>
      </c>
      <c r="O9" s="8" t="n">
        <v>7500</v>
      </c>
      <c r="P9" s="9" t="inlineStr">
        <is>
          <t>企業×TikTokショートドラマ</t>
        </is>
      </c>
    </row>
    <row r="10" ht="17" customHeight="1">
      <c r="A10" s="6" t="inlineStr"/>
      <c r="B10" s="7" t="inlineStr">
        <is>
          <t xml:space="preserve">        　└ 月間案件数（件）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n">
        <v>1</v>
      </c>
      <c r="G10" s="10" t="n">
        <v>1</v>
      </c>
      <c r="H10" s="10" t="n">
        <v>2</v>
      </c>
      <c r="I10" s="10" t="n">
        <v>2</v>
      </c>
      <c r="J10" s="10" t="n">
        <v>3</v>
      </c>
      <c r="K10" s="10" t="n">
        <v>3</v>
      </c>
      <c r="L10" s="10" t="n">
        <v>4</v>
      </c>
      <c r="M10" s="10" t="n">
        <v>4</v>
      </c>
      <c r="N10" s="10" t="n">
        <v>5</v>
      </c>
      <c r="O10" s="10" t="n">
        <v>25</v>
      </c>
      <c r="P10" s="9" t="inlineStr">
        <is>
          <t>KPI：月1→5件</t>
        </is>
      </c>
    </row>
    <row r="11" ht="17" customHeight="1">
      <c r="A11" s="6" t="inlineStr"/>
      <c r="B11" s="7" t="inlineStr">
        <is>
          <t xml:space="preserve">        　└ 単価（万円/件）</t>
        </is>
      </c>
      <c r="C11" s="10" t="n">
        <v>300</v>
      </c>
      <c r="D11" s="10" t="n">
        <v>300</v>
      </c>
      <c r="E11" s="10" t="n">
        <v>300</v>
      </c>
      <c r="F11" s="10" t="n">
        <v>300</v>
      </c>
      <c r="G11" s="10" t="n">
        <v>300</v>
      </c>
      <c r="H11" s="10" t="n">
        <v>300</v>
      </c>
      <c r="I11" s="10" t="n">
        <v>300</v>
      </c>
      <c r="J11" s="10" t="n">
        <v>300</v>
      </c>
      <c r="K11" s="10" t="n">
        <v>300</v>
      </c>
      <c r="L11" s="10" t="n">
        <v>300</v>
      </c>
      <c r="M11" s="10" t="n">
        <v>300</v>
      </c>
      <c r="N11" s="10" t="n">
        <v>300</v>
      </c>
      <c r="O11" s="10" t="n">
        <v>3600</v>
      </c>
      <c r="P11" s="9" t="inlineStr">
        <is>
          <t>仮置き：300万/件</t>
        </is>
      </c>
    </row>
    <row r="12" ht="17" customHeight="1">
      <c r="A12" s="6" t="inlineStr"/>
      <c r="B12" s="7" t="inlineStr">
        <is>
          <t xml:space="preserve">    ③ WESELL グッズ売上</t>
        </is>
      </c>
      <c r="C12" s="8" t="inlineStr">
        <is>
          <t>-</t>
        </is>
      </c>
      <c r="D12" s="8" t="inlineStr">
        <is>
          <t>-</t>
        </is>
      </c>
      <c r="E12" s="8" t="inlineStr">
        <is>
          <t>-</t>
        </is>
      </c>
      <c r="F12" s="8" t="inlineStr">
        <is>
          <t>-</t>
        </is>
      </c>
      <c r="G12" s="8" t="n">
        <v>50</v>
      </c>
      <c r="H12" s="8" t="n">
        <v>100</v>
      </c>
      <c r="I12" s="8" t="n">
        <v>150</v>
      </c>
      <c r="J12" s="8" t="n">
        <v>200</v>
      </c>
      <c r="K12" s="8" t="n">
        <v>250</v>
      </c>
      <c r="L12" s="8" t="n">
        <v>350</v>
      </c>
      <c r="M12" s="8" t="n">
        <v>450</v>
      </c>
      <c r="N12" s="8" t="n">
        <v>550</v>
      </c>
      <c r="O12" s="8" t="n">
        <v>2100</v>
      </c>
      <c r="P12" s="9" t="inlineStr">
        <is>
          <t>米国TikTok Shop / バズWESELL運用</t>
        </is>
      </c>
    </row>
    <row r="13" ht="17" customHeight="1">
      <c r="A13" s="6" t="inlineStr"/>
      <c r="B13" s="7" t="inlineStr">
        <is>
          <t xml:space="preserve">    ④ IPライセンス売上</t>
        </is>
      </c>
      <c r="C13" s="8" t="inlineStr">
        <is>
          <t>-</t>
        </is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n">
        <v>50</v>
      </c>
      <c r="I13" s="8" t="n">
        <v>50</v>
      </c>
      <c r="J13" s="8" t="n">
        <v>100</v>
      </c>
      <c r="K13" s="8" t="n">
        <v>100</v>
      </c>
      <c r="L13" s="8" t="n">
        <v>150</v>
      </c>
      <c r="M13" s="8" t="n">
        <v>150</v>
      </c>
      <c r="N13" s="8" t="n">
        <v>200</v>
      </c>
      <c r="O13" s="8" t="n">
        <v>800</v>
      </c>
      <c r="P13" s="9" t="inlineStr">
        <is>
          <t>ギャル協会公認ロゴ等</t>
        </is>
      </c>
    </row>
    <row r="14" ht="17" customHeight="1">
      <c r="A14" s="6" t="inlineStr"/>
      <c r="B14" s="7" t="inlineStr">
        <is>
          <t xml:space="preserve">        　└ 契約社数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n">
        <v>1</v>
      </c>
      <c r="I14" s="10" t="n">
        <v>1</v>
      </c>
      <c r="J14" s="10" t="n">
        <v>2</v>
      </c>
      <c r="K14" s="10" t="n">
        <v>2</v>
      </c>
      <c r="L14" s="10" t="n">
        <v>3</v>
      </c>
      <c r="M14" s="10" t="n">
        <v>3</v>
      </c>
      <c r="N14" s="10" t="n">
        <v>4</v>
      </c>
      <c r="O14" s="10" t="n">
        <v>16</v>
      </c>
      <c r="P14" s="9" t="inlineStr">
        <is>
          <t>KPI：0→4社</t>
        </is>
      </c>
    </row>
    <row r="15" ht="17" customHeight="1">
      <c r="A15" s="6" t="inlineStr"/>
      <c r="B15" s="7" t="inlineStr">
        <is>
          <t xml:space="preserve">        　└ 単価（万円/社/月）</t>
        </is>
      </c>
      <c r="C15" s="10" t="n">
        <v>50</v>
      </c>
      <c r="D15" s="10" t="n">
        <v>50</v>
      </c>
      <c r="E15" s="10" t="n">
        <v>50</v>
      </c>
      <c r="F15" s="10" t="n">
        <v>50</v>
      </c>
      <c r="G15" s="10" t="n">
        <v>50</v>
      </c>
      <c r="H15" s="10" t="n">
        <v>50</v>
      </c>
      <c r="I15" s="10" t="n">
        <v>50</v>
      </c>
      <c r="J15" s="10" t="n">
        <v>50</v>
      </c>
      <c r="K15" s="10" t="n">
        <v>50</v>
      </c>
      <c r="L15" s="10" t="n">
        <v>50</v>
      </c>
      <c r="M15" s="10" t="n">
        <v>50</v>
      </c>
      <c r="N15" s="10" t="n">
        <v>50</v>
      </c>
      <c r="O15" s="10" t="n">
        <v>600</v>
      </c>
      <c r="P15" s="9" t="inlineStr">
        <is>
          <t>仮置き：月50万</t>
        </is>
      </c>
    </row>
    <row r="16" ht="17" customHeight="1">
      <c r="A16" s="6" t="inlineStr"/>
      <c r="B16" s="7" t="inlineStr">
        <is>
          <t xml:space="preserve">    ⑤ ギャル旅タイアップ</t>
        </is>
      </c>
      <c r="C16" s="8" t="inlineStr">
        <is>
          <t>-</t>
        </is>
      </c>
      <c r="D16" s="8" t="inlineStr">
        <is>
          <t>-</t>
        </is>
      </c>
      <c r="E16" s="8" t="inlineStr">
        <is>
          <t>-</t>
        </is>
      </c>
      <c r="F16" s="8" t="inlineStr">
        <is>
          <t>-</t>
        </is>
      </c>
      <c r="G16" s="8" t="n">
        <v>400</v>
      </c>
      <c r="H16" s="8" t="inlineStr">
        <is>
          <t>-</t>
        </is>
      </c>
      <c r="I16" s="8" t="inlineStr">
        <is>
          <t>-</t>
        </is>
      </c>
      <c r="J16" s="8" t="inlineStr">
        <is>
          <t>-</t>
        </is>
      </c>
      <c r="K16" s="8" t="n">
        <v>400</v>
      </c>
      <c r="L16" s="8" t="inlineStr">
        <is>
          <t>-</t>
        </is>
      </c>
      <c r="M16" s="8" t="inlineStr">
        <is>
          <t>-</t>
        </is>
      </c>
      <c r="N16" s="8" t="inlineStr">
        <is>
          <t>-</t>
        </is>
      </c>
      <c r="O16" s="8" t="n">
        <v>800</v>
      </c>
      <c r="P16" s="9" t="inlineStr">
        <is>
          <t>自治体・観光協会、年2件、@400万</t>
        </is>
      </c>
    </row>
    <row r="17" ht="17" customHeight="1">
      <c r="A17" s="11" t="inlineStr"/>
      <c r="B17" s="12" t="inlineStr">
        <is>
          <t xml:space="preserve">  売上高　合計</t>
        </is>
      </c>
      <c r="C17" s="13" t="inlineStr">
        <is>
          <t>-</t>
        </is>
      </c>
      <c r="D17" s="13" t="inlineStr">
        <is>
          <t>-</t>
        </is>
      </c>
      <c r="E17" s="13" t="inlineStr">
        <is>
          <t>-</t>
        </is>
      </c>
      <c r="F17" s="14" t="n">
        <v>400</v>
      </c>
      <c r="G17" s="14" t="n">
        <v>910</v>
      </c>
      <c r="H17" s="14" t="n">
        <v>950</v>
      </c>
      <c r="I17" s="14" t="n">
        <v>1100</v>
      </c>
      <c r="J17" s="14" t="n">
        <v>1600</v>
      </c>
      <c r="K17" s="14" t="n">
        <v>2110</v>
      </c>
      <c r="L17" s="14" t="n">
        <v>2260</v>
      </c>
      <c r="M17" s="14" t="n">
        <v>2440</v>
      </c>
      <c r="N17" s="14" t="n">
        <v>3010</v>
      </c>
      <c r="O17" s="13" t="n">
        <v>14780</v>
      </c>
      <c r="P17" s="15" t="inlineStr">
        <is>
          <t>Year1通期目標：1.5億円〜</t>
        </is>
      </c>
    </row>
    <row r="19" ht="20" customHeight="1">
      <c r="A19" s="16" t="inlineStr">
        <is>
          <t xml:space="preserve">  ▼ 売上原価（COGS）　※バズ財務データ参考で原価率設定</t>
        </is>
      </c>
    </row>
    <row r="20" ht="17" customHeight="1">
      <c r="A20" s="17" t="inlineStr"/>
      <c r="B20" s="18" t="inlineStr">
        <is>
          <t xml:space="preserve">    インバウンド体験原価（会場・衣装・スタッフ）</t>
        </is>
      </c>
      <c r="C20" s="19" t="inlineStr">
        <is>
          <t>-</t>
        </is>
      </c>
      <c r="D20" s="19" t="inlineStr">
        <is>
          <t>-</t>
        </is>
      </c>
      <c r="E20" s="19" t="inlineStr">
        <is>
          <t>-</t>
        </is>
      </c>
      <c r="F20" s="19" t="n">
        <v>30</v>
      </c>
      <c r="G20" s="19" t="n">
        <v>48</v>
      </c>
      <c r="H20" s="19" t="n">
        <v>60</v>
      </c>
      <c r="I20" s="19" t="n">
        <v>90</v>
      </c>
      <c r="J20" s="19" t="n">
        <v>120</v>
      </c>
      <c r="K20" s="19" t="n">
        <v>138</v>
      </c>
      <c r="L20" s="19" t="n">
        <v>168</v>
      </c>
      <c r="M20" s="19" t="n">
        <v>192</v>
      </c>
      <c r="N20" s="19" t="n">
        <v>228</v>
      </c>
      <c r="O20" s="19" t="n">
        <v>1074</v>
      </c>
      <c r="P20" s="20" t="inlineStr">
        <is>
          <t>売上の30%（仮置き）</t>
        </is>
      </c>
    </row>
    <row r="21" ht="17" customHeight="1">
      <c r="A21" s="17" t="inlineStr"/>
      <c r="B21" s="18" t="inlineStr">
        <is>
          <t xml:space="preserve">    広告タイアップ原価（制作・インフルエンサー）</t>
        </is>
      </c>
      <c r="C21" s="19" t="inlineStr">
        <is>
          <t>-</t>
        </is>
      </c>
      <c r="D21" s="19" t="inlineStr">
        <is>
          <t>-</t>
        </is>
      </c>
      <c r="E21" s="19" t="inlineStr">
        <is>
          <t>-</t>
        </is>
      </c>
      <c r="F21" s="19" t="n">
        <v>120</v>
      </c>
      <c r="G21" s="19" t="n">
        <v>120</v>
      </c>
      <c r="H21" s="19" t="n">
        <v>240</v>
      </c>
      <c r="I21" s="19" t="n">
        <v>240</v>
      </c>
      <c r="J21" s="19" t="n">
        <v>360</v>
      </c>
      <c r="K21" s="19" t="n">
        <v>360</v>
      </c>
      <c r="L21" s="19" t="n">
        <v>480</v>
      </c>
      <c r="M21" s="19" t="n">
        <v>480</v>
      </c>
      <c r="N21" s="19" t="n">
        <v>600</v>
      </c>
      <c r="O21" s="19" t="n">
        <v>3000</v>
      </c>
      <c r="P21" s="20" t="inlineStr">
        <is>
          <t>売上の40%（バズSMM参考）</t>
        </is>
      </c>
    </row>
    <row r="22" ht="17" customHeight="1">
      <c r="A22" s="17" t="inlineStr"/>
      <c r="B22" s="18" t="inlineStr">
        <is>
          <t xml:space="preserve">    WESELL仕入原価</t>
        </is>
      </c>
      <c r="C22" s="19" t="inlineStr">
        <is>
          <t>-</t>
        </is>
      </c>
      <c r="D22" s="19" t="inlineStr">
        <is>
          <t>-</t>
        </is>
      </c>
      <c r="E22" s="19" t="inlineStr">
        <is>
          <t>-</t>
        </is>
      </c>
      <c r="F22" s="19" t="inlineStr">
        <is>
          <t>-</t>
        </is>
      </c>
      <c r="G22" s="19" t="n">
        <v>22.5</v>
      </c>
      <c r="H22" s="19" t="n">
        <v>45</v>
      </c>
      <c r="I22" s="19" t="n">
        <v>67.5</v>
      </c>
      <c r="J22" s="19" t="n">
        <v>90</v>
      </c>
      <c r="K22" s="19" t="n">
        <v>112.5</v>
      </c>
      <c r="L22" s="19" t="n">
        <v>157.5</v>
      </c>
      <c r="M22" s="19" t="n">
        <v>202.5</v>
      </c>
      <c r="N22" s="19" t="n">
        <v>247.5</v>
      </c>
      <c r="O22" s="19" t="n">
        <v>945</v>
      </c>
      <c r="P22" s="20" t="inlineStr">
        <is>
          <t>売上の45%（バズSB参考）</t>
        </is>
      </c>
    </row>
    <row r="23" ht="17" customHeight="1">
      <c r="A23" s="17" t="inlineStr"/>
      <c r="B23" s="18" t="inlineStr">
        <is>
          <t xml:space="preserve">    IPライセンス原価</t>
        </is>
      </c>
      <c r="C23" s="19" t="inlineStr">
        <is>
          <t>-</t>
        </is>
      </c>
      <c r="D23" s="19" t="inlineStr">
        <is>
          <t>-</t>
        </is>
      </c>
      <c r="E23" s="19" t="inlineStr">
        <is>
          <t>-</t>
        </is>
      </c>
      <c r="F23" s="19" t="inlineStr">
        <is>
          <t>-</t>
        </is>
      </c>
      <c r="G23" s="19" t="inlineStr">
        <is>
          <t>-</t>
        </is>
      </c>
      <c r="H23" s="19" t="n">
        <v>2.5</v>
      </c>
      <c r="I23" s="19" t="n">
        <v>2.5</v>
      </c>
      <c r="J23" s="19" t="n">
        <v>5</v>
      </c>
      <c r="K23" s="19" t="n">
        <v>5</v>
      </c>
      <c r="L23" s="19" t="n">
        <v>7.5</v>
      </c>
      <c r="M23" s="19" t="n">
        <v>7.5</v>
      </c>
      <c r="N23" s="19" t="n">
        <v>10</v>
      </c>
      <c r="O23" s="19" t="n">
        <v>40</v>
      </c>
      <c r="P23" s="20" t="inlineStr">
        <is>
          <t>売上の5%（ほぼ固定費）</t>
        </is>
      </c>
    </row>
    <row r="24" ht="17" customHeight="1">
      <c r="A24" s="17" t="inlineStr"/>
      <c r="B24" s="18" t="inlineStr">
        <is>
          <t xml:space="preserve">    ギャル旅制作費</t>
        </is>
      </c>
      <c r="C24" s="19" t="inlineStr">
        <is>
          <t>-</t>
        </is>
      </c>
      <c r="D24" s="19" t="inlineStr">
        <is>
          <t>-</t>
        </is>
      </c>
      <c r="E24" s="19" t="inlineStr">
        <is>
          <t>-</t>
        </is>
      </c>
      <c r="F24" s="19" t="inlineStr">
        <is>
          <t>-</t>
        </is>
      </c>
      <c r="G24" s="19" t="n">
        <v>140</v>
      </c>
      <c r="H24" s="19" t="inlineStr">
        <is>
          <t>-</t>
        </is>
      </c>
      <c r="I24" s="19" t="inlineStr">
        <is>
          <t>-</t>
        </is>
      </c>
      <c r="J24" s="19" t="inlineStr">
        <is>
          <t>-</t>
        </is>
      </c>
      <c r="K24" s="19" t="n">
        <v>140</v>
      </c>
      <c r="L24" s="19" t="inlineStr">
        <is>
          <t>-</t>
        </is>
      </c>
      <c r="M24" s="19" t="inlineStr">
        <is>
          <t>-</t>
        </is>
      </c>
      <c r="N24" s="19" t="inlineStr">
        <is>
          <t>-</t>
        </is>
      </c>
      <c r="O24" s="19" t="n">
        <v>280</v>
      </c>
      <c r="P24" s="20" t="inlineStr">
        <is>
          <t>売上の35%</t>
        </is>
      </c>
    </row>
    <row r="25" ht="17" customHeight="1">
      <c r="A25" s="11" t="inlineStr"/>
      <c r="B25" s="12" t="inlineStr">
        <is>
          <t xml:space="preserve">  売上原価　合計</t>
        </is>
      </c>
      <c r="C25" s="13" t="inlineStr">
        <is>
          <t>-</t>
        </is>
      </c>
      <c r="D25" s="13" t="inlineStr">
        <is>
          <t>-</t>
        </is>
      </c>
      <c r="E25" s="13" t="inlineStr">
        <is>
          <t>-</t>
        </is>
      </c>
      <c r="F25" s="14" t="n">
        <v>150</v>
      </c>
      <c r="G25" s="14" t="n">
        <v>330.5</v>
      </c>
      <c r="H25" s="14" t="n">
        <v>347.5</v>
      </c>
      <c r="I25" s="14" t="n">
        <v>400</v>
      </c>
      <c r="J25" s="14" t="n">
        <v>575</v>
      </c>
      <c r="K25" s="14" t="n">
        <v>755.5</v>
      </c>
      <c r="L25" s="14" t="n">
        <v>813</v>
      </c>
      <c r="M25" s="14" t="n">
        <v>882</v>
      </c>
      <c r="N25" s="14" t="n">
        <v>1085.5</v>
      </c>
      <c r="O25" s="13" t="n">
        <v>5339</v>
      </c>
      <c r="P25" s="15" t="inlineStr"/>
    </row>
    <row r="26" ht="17" customHeight="1">
      <c r="A26" s="11" t="inlineStr"/>
      <c r="B26" s="12" t="inlineStr">
        <is>
          <t xml:space="preserve">  売上総利益（Gross Profit）</t>
        </is>
      </c>
      <c r="C26" s="13" t="inlineStr">
        <is>
          <t>-</t>
        </is>
      </c>
      <c r="D26" s="13" t="inlineStr">
        <is>
          <t>-</t>
        </is>
      </c>
      <c r="E26" s="13" t="inlineStr">
        <is>
          <t>-</t>
        </is>
      </c>
      <c r="F26" s="14" t="n">
        <v>250</v>
      </c>
      <c r="G26" s="14" t="n">
        <v>579.5</v>
      </c>
      <c r="H26" s="14" t="n">
        <v>602.5</v>
      </c>
      <c r="I26" s="14" t="n">
        <v>700</v>
      </c>
      <c r="J26" s="14" t="n">
        <v>1025</v>
      </c>
      <c r="K26" s="14" t="n">
        <v>1354.5</v>
      </c>
      <c r="L26" s="14" t="n">
        <v>1447</v>
      </c>
      <c r="M26" s="14" t="n">
        <v>1558</v>
      </c>
      <c r="N26" s="14" t="n">
        <v>1924.5</v>
      </c>
      <c r="O26" s="13" t="n">
        <v>9441</v>
      </c>
      <c r="P26" s="15" t="inlineStr">
        <is>
          <t>売上−原価</t>
        </is>
      </c>
    </row>
    <row r="27" ht="17" customHeight="1">
      <c r="A27" s="11" t="inlineStr"/>
      <c r="B27" s="21" t="inlineStr">
        <is>
          <t xml:space="preserve">      売上総利益率（GP Margin %）</t>
        </is>
      </c>
      <c r="C27" s="22" t="inlineStr">
        <is>
          <t>-</t>
        </is>
      </c>
      <c r="D27" s="22" t="inlineStr">
        <is>
          <t>-</t>
        </is>
      </c>
      <c r="E27" s="22" t="inlineStr">
        <is>
          <t>-</t>
        </is>
      </c>
      <c r="F27" s="23" t="inlineStr">
        <is>
          <t>62.5%</t>
        </is>
      </c>
      <c r="G27" s="23" t="inlineStr">
        <is>
          <t>63.7%</t>
        </is>
      </c>
      <c r="H27" s="23" t="inlineStr">
        <is>
          <t>63.4%</t>
        </is>
      </c>
      <c r="I27" s="23" t="inlineStr">
        <is>
          <t>63.6%</t>
        </is>
      </c>
      <c r="J27" s="23" t="inlineStr">
        <is>
          <t>64.1%</t>
        </is>
      </c>
      <c r="K27" s="23" t="inlineStr">
        <is>
          <t>64.2%</t>
        </is>
      </c>
      <c r="L27" s="23" t="inlineStr">
        <is>
          <t>64.0%</t>
        </is>
      </c>
      <c r="M27" s="23" t="inlineStr">
        <is>
          <t>63.9%</t>
        </is>
      </c>
      <c r="N27" s="23" t="inlineStr">
        <is>
          <t>63.9%</t>
        </is>
      </c>
      <c r="O27" s="24" t="inlineStr">
        <is>
          <t>-</t>
        </is>
      </c>
      <c r="P27" s="15" t="inlineStr">
        <is>
          <t>バズ連結参考：34.3%</t>
        </is>
      </c>
    </row>
    <row r="29" ht="20" customHeight="1">
      <c r="A29" s="25" t="inlineStr">
        <is>
          <t xml:space="preserve">  ▼ 販売費及び一般管理費（SG&amp;A）　※バズ販管費構成参考</t>
        </is>
      </c>
    </row>
    <row r="30" ht="17" customHeight="1">
      <c r="A30" s="26" t="inlineStr"/>
      <c r="B30" s="27" t="inlineStr">
        <is>
          <t xml:space="preserve">    コンテンツ制作費（TikTok/IG動画）</t>
        </is>
      </c>
      <c r="C30" s="28" t="n">
        <v>50</v>
      </c>
      <c r="D30" s="28" t="n">
        <v>100</v>
      </c>
      <c r="E30" s="28" t="n">
        <v>150</v>
      </c>
      <c r="F30" s="28" t="n">
        <v>150</v>
      </c>
      <c r="G30" s="28" t="n">
        <v>200</v>
      </c>
      <c r="H30" s="28" t="n">
        <v>200</v>
      </c>
      <c r="I30" s="28" t="n">
        <v>250</v>
      </c>
      <c r="J30" s="28" t="n">
        <v>250</v>
      </c>
      <c r="K30" s="28" t="n">
        <v>300</v>
      </c>
      <c r="L30" s="28" t="n">
        <v>300</v>
      </c>
      <c r="M30" s="28" t="n">
        <v>300</v>
      </c>
      <c r="N30" s="28" t="n">
        <v>300</v>
      </c>
      <c r="O30" s="28" t="n">
        <v>2550</v>
      </c>
      <c r="P30" s="29" t="inlineStr">
        <is>
          <t>業務委託費ベース（バズ参考）</t>
        </is>
      </c>
    </row>
    <row r="31" ht="17" customHeight="1">
      <c r="A31" s="26" t="inlineStr"/>
      <c r="B31" s="27" t="inlineStr">
        <is>
          <t xml:space="preserve">    ギャル協会レベニューシェア</t>
        </is>
      </c>
      <c r="C31" s="28" t="inlineStr">
        <is>
          <t>-</t>
        </is>
      </c>
      <c r="D31" s="28" t="inlineStr">
        <is>
          <t>-</t>
        </is>
      </c>
      <c r="E31" s="28" t="inlineStr">
        <is>
          <t>-</t>
        </is>
      </c>
      <c r="F31" s="28" t="n">
        <v>96</v>
      </c>
      <c r="G31" s="28" t="n">
        <v>96</v>
      </c>
      <c r="H31" s="28" t="n">
        <v>217</v>
      </c>
      <c r="I31" s="28" t="n">
        <v>217</v>
      </c>
      <c r="J31" s="28" t="n">
        <v>338</v>
      </c>
      <c r="K31" s="28" t="n">
        <v>338</v>
      </c>
      <c r="L31" s="28" t="n">
        <v>459</v>
      </c>
      <c r="M31" s="28" t="n">
        <v>459</v>
      </c>
      <c r="N31" s="28" t="n">
        <v>580</v>
      </c>
      <c r="O31" s="28" t="n">
        <v>2800</v>
      </c>
      <c r="P31" s="29" t="inlineStr">
        <is>
          <t>タイアップ32%＋ライセンス50%</t>
        </is>
      </c>
    </row>
    <row r="32" ht="17" customHeight="1">
      <c r="A32" s="26" t="inlineStr"/>
      <c r="B32" s="27" t="inlineStr">
        <is>
          <t xml:space="preserve">    ENTIAL固定費（バズ社内PM）</t>
        </is>
      </c>
      <c r="C32" s="28" t="n">
        <v>80</v>
      </c>
      <c r="D32" s="28" t="n">
        <v>80</v>
      </c>
      <c r="E32" s="28" t="n">
        <v>80</v>
      </c>
      <c r="F32" s="28" t="n">
        <v>80</v>
      </c>
      <c r="G32" s="28" t="n">
        <v>80</v>
      </c>
      <c r="H32" s="28" t="n">
        <v>80</v>
      </c>
      <c r="I32" s="28" t="n">
        <v>80</v>
      </c>
      <c r="J32" s="28" t="n">
        <v>80</v>
      </c>
      <c r="K32" s="28" t="n">
        <v>80</v>
      </c>
      <c r="L32" s="28" t="n">
        <v>80</v>
      </c>
      <c r="M32" s="28" t="n">
        <v>80</v>
      </c>
      <c r="N32" s="28" t="n">
        <v>80</v>
      </c>
      <c r="O32" s="28" t="n">
        <v>960</v>
      </c>
      <c r="P32" s="29" t="inlineStr">
        <is>
          <t>月80万固定（バズの人件費ゼロ）</t>
        </is>
      </c>
    </row>
    <row r="33" ht="17" customHeight="1">
      <c r="A33" s="26" t="inlineStr"/>
      <c r="B33" s="27" t="inlineStr">
        <is>
          <t xml:space="preserve">    ENTIALインセンティブ</t>
        </is>
      </c>
      <c r="C33" s="28" t="inlineStr">
        <is>
          <t>-</t>
        </is>
      </c>
      <c r="D33" s="28" t="inlineStr">
        <is>
          <t>-</t>
        </is>
      </c>
      <c r="E33" s="28" t="inlineStr">
        <is>
          <t>-</t>
        </is>
      </c>
      <c r="F33" s="28" t="n">
        <v>12</v>
      </c>
      <c r="G33" s="28" t="n">
        <v>27</v>
      </c>
      <c r="H33" s="28" t="n">
        <v>28</v>
      </c>
      <c r="I33" s="28" t="n">
        <v>33</v>
      </c>
      <c r="J33" s="28" t="n">
        <v>48</v>
      </c>
      <c r="K33" s="28" t="n">
        <v>63</v>
      </c>
      <c r="L33" s="28" t="n">
        <v>68</v>
      </c>
      <c r="M33" s="28" t="n">
        <v>73</v>
      </c>
      <c r="N33" s="28" t="n">
        <v>90</v>
      </c>
      <c r="O33" s="28" t="n">
        <v>442</v>
      </c>
      <c r="P33" s="29" t="inlineStr">
        <is>
          <t>売上の3%（成果連動）</t>
        </is>
      </c>
    </row>
    <row r="34" ht="17" customHeight="1">
      <c r="A34" s="26" t="inlineStr"/>
      <c r="B34" s="27" t="inlineStr">
        <is>
          <t xml:space="preserve">    広告宣伝費</t>
        </is>
      </c>
      <c r="C34" s="28" t="n">
        <v>30</v>
      </c>
      <c r="D34" s="28" t="n">
        <v>30</v>
      </c>
      <c r="E34" s="28" t="n">
        <v>50</v>
      </c>
      <c r="F34" s="28" t="n">
        <v>50</v>
      </c>
      <c r="G34" s="28" t="n">
        <v>80</v>
      </c>
      <c r="H34" s="28" t="n">
        <v>80</v>
      </c>
      <c r="I34" s="28" t="n">
        <v>80</v>
      </c>
      <c r="J34" s="28" t="n">
        <v>100</v>
      </c>
      <c r="K34" s="28" t="n">
        <v>100</v>
      </c>
      <c r="L34" s="28" t="n">
        <v>100</v>
      </c>
      <c r="M34" s="28" t="n">
        <v>120</v>
      </c>
      <c r="N34" s="28" t="n">
        <v>120</v>
      </c>
      <c r="O34" s="28" t="n">
        <v>940</v>
      </c>
      <c r="P34" s="29" t="inlineStr">
        <is>
          <t>SNS広告・PR費（バズ販管費1.2%参考）</t>
        </is>
      </c>
    </row>
    <row r="35" ht="17" customHeight="1">
      <c r="A35" s="26" t="inlineStr"/>
      <c r="B35" s="27" t="inlineStr">
        <is>
          <t xml:space="preserve">    その他運営費</t>
        </is>
      </c>
      <c r="C35" s="28" t="n">
        <v>30</v>
      </c>
      <c r="D35" s="28" t="n">
        <v>30</v>
      </c>
      <c r="E35" s="28" t="n">
        <v>30</v>
      </c>
      <c r="F35" s="28" t="n">
        <v>30</v>
      </c>
      <c r="G35" s="28" t="n">
        <v>30</v>
      </c>
      <c r="H35" s="28" t="n">
        <v>30</v>
      </c>
      <c r="I35" s="28" t="n">
        <v>30</v>
      </c>
      <c r="J35" s="28" t="n">
        <v>30</v>
      </c>
      <c r="K35" s="28" t="n">
        <v>30</v>
      </c>
      <c r="L35" s="28" t="n">
        <v>30</v>
      </c>
      <c r="M35" s="28" t="n">
        <v>30</v>
      </c>
      <c r="N35" s="28" t="n">
        <v>30</v>
      </c>
      <c r="O35" s="28" t="n">
        <v>360</v>
      </c>
      <c r="P35" s="29" t="inlineStr">
        <is>
          <t>通信・交通・雑費</t>
        </is>
      </c>
    </row>
    <row r="36" ht="17" customHeight="1">
      <c r="A36" s="11" t="inlineStr"/>
      <c r="B36" s="12" t="inlineStr">
        <is>
          <t xml:space="preserve">  販管費　合計</t>
        </is>
      </c>
      <c r="C36" s="14" t="n">
        <v>190</v>
      </c>
      <c r="D36" s="14" t="n">
        <v>240</v>
      </c>
      <c r="E36" s="14" t="n">
        <v>310</v>
      </c>
      <c r="F36" s="14" t="n">
        <v>418</v>
      </c>
      <c r="G36" s="14" t="n">
        <v>513</v>
      </c>
      <c r="H36" s="14" t="n">
        <v>635</v>
      </c>
      <c r="I36" s="14" t="n">
        <v>690</v>
      </c>
      <c r="J36" s="14" t="n">
        <v>846</v>
      </c>
      <c r="K36" s="14" t="n">
        <v>911</v>
      </c>
      <c r="L36" s="14" t="n">
        <v>1037</v>
      </c>
      <c r="M36" s="14" t="n">
        <v>1062</v>
      </c>
      <c r="N36" s="14" t="n">
        <v>1200</v>
      </c>
      <c r="O36" s="13" t="n">
        <v>8052</v>
      </c>
      <c r="P36" s="15" t="inlineStr"/>
    </row>
    <row r="38" ht="20" customHeight="1">
      <c r="A38" s="30" t="inlineStr">
        <is>
          <t xml:space="preserve">  ▼ 営業利益（Operating Profit）</t>
        </is>
      </c>
    </row>
    <row r="39" ht="17" customHeight="1">
      <c r="A39" s="31" t="inlineStr"/>
      <c r="B39" s="32" t="inlineStr">
        <is>
          <t xml:space="preserve">  営業利益</t>
        </is>
      </c>
      <c r="C39" s="33" t="n">
        <v>-190</v>
      </c>
      <c r="D39" s="33" t="n">
        <v>-240</v>
      </c>
      <c r="E39" s="33" t="n">
        <v>-310</v>
      </c>
      <c r="F39" s="33" t="n">
        <v>-168</v>
      </c>
      <c r="G39" s="34" t="n">
        <v>66.5</v>
      </c>
      <c r="H39" s="33" t="n">
        <v>-32.5</v>
      </c>
      <c r="I39" s="34" t="n">
        <v>10</v>
      </c>
      <c r="J39" s="34" t="n">
        <v>179</v>
      </c>
      <c r="K39" s="34" t="n">
        <v>443.5</v>
      </c>
      <c r="L39" s="34" t="n">
        <v>410</v>
      </c>
      <c r="M39" s="34" t="n">
        <v>496</v>
      </c>
      <c r="N39" s="34" t="n">
        <v>724.5</v>
      </c>
      <c r="O39" s="35" t="n">
        <v>1389</v>
      </c>
      <c r="P39" s="36" t="inlineStr">
        <is>
          <t>売上総利益−販管費</t>
        </is>
      </c>
    </row>
    <row r="40" ht="17" customHeight="1">
      <c r="A40" s="31" t="inlineStr"/>
      <c r="B40" s="37" t="inlineStr">
        <is>
          <t xml:space="preserve">      営業利益率（Operating Margin %）</t>
        </is>
      </c>
      <c r="C40" s="38" t="inlineStr">
        <is>
          <t>-</t>
        </is>
      </c>
      <c r="D40" s="38" t="inlineStr">
        <is>
          <t>-</t>
        </is>
      </c>
      <c r="E40" s="38" t="inlineStr">
        <is>
          <t>-</t>
        </is>
      </c>
      <c r="F40" s="39" t="inlineStr">
        <is>
          <t>-42.0%</t>
        </is>
      </c>
      <c r="G40" s="40" t="inlineStr">
        <is>
          <t>7.3%</t>
        </is>
      </c>
      <c r="H40" s="39" t="inlineStr">
        <is>
          <t>-3.4%</t>
        </is>
      </c>
      <c r="I40" s="40" t="inlineStr">
        <is>
          <t>0.9%</t>
        </is>
      </c>
      <c r="J40" s="40" t="inlineStr">
        <is>
          <t>11.2%</t>
        </is>
      </c>
      <c r="K40" s="40" t="inlineStr">
        <is>
          <t>21.0%</t>
        </is>
      </c>
      <c r="L40" s="40" t="inlineStr">
        <is>
          <t>18.1%</t>
        </is>
      </c>
      <c r="M40" s="40" t="inlineStr">
        <is>
          <t>20.3%</t>
        </is>
      </c>
      <c r="N40" s="40" t="inlineStr">
        <is>
          <t>24.1%</t>
        </is>
      </c>
      <c r="O40" s="41" t="inlineStr">
        <is>
          <t>-</t>
        </is>
      </c>
      <c r="P40" s="36" t="inlineStr">
        <is>
          <t>バズ連結参考：6.7%</t>
        </is>
      </c>
    </row>
    <row r="41" ht="17" customHeight="1">
      <c r="A41" s="31" t="inlineStr"/>
      <c r="B41" s="37" t="inlineStr">
        <is>
          <t xml:space="preserve">      累計営業利益（BS）</t>
        </is>
      </c>
      <c r="C41" s="42" t="n">
        <v>-190</v>
      </c>
      <c r="D41" s="42" t="n">
        <v>-430</v>
      </c>
      <c r="E41" s="42" t="n">
        <v>-740</v>
      </c>
      <c r="F41" s="42" t="n">
        <v>-908</v>
      </c>
      <c r="G41" s="42" t="n">
        <v>-841.5</v>
      </c>
      <c r="H41" s="42" t="n">
        <v>-874</v>
      </c>
      <c r="I41" s="42" t="n">
        <v>-864</v>
      </c>
      <c r="J41" s="42" t="n">
        <v>-685</v>
      </c>
      <c r="K41" s="42" t="n">
        <v>-241.5</v>
      </c>
      <c r="L41" s="43" t="n">
        <v>168.5</v>
      </c>
      <c r="M41" s="43" t="n">
        <v>664.5</v>
      </c>
      <c r="N41" s="43" t="n">
        <v>1389</v>
      </c>
      <c r="O41" s="42" t="n">
        <v>-3552</v>
      </c>
      <c r="P41" s="36" t="inlineStr">
        <is>
          <t>累計＝損益分岐月を示す</t>
        </is>
      </c>
    </row>
    <row r="43" ht="20" customHeight="1">
      <c r="A43" s="44" t="inlineStr">
        <is>
          <t xml:space="preserve">  ▼ KSF／KPI（成功の鍵）</t>
        </is>
      </c>
    </row>
    <row r="44" ht="17" customHeight="1">
      <c r="A44" s="45" t="inlineStr"/>
      <c r="B44" s="46" t="inlineStr">
        <is>
          <t xml:space="preserve">    TikTokフォロワー数（千人）</t>
        </is>
      </c>
      <c r="C44" s="47" t="inlineStr">
        <is>
          <t>-</t>
        </is>
      </c>
      <c r="D44" s="47" t="n">
        <v>1</v>
      </c>
      <c r="E44" s="47" t="n">
        <v>3</v>
      </c>
      <c r="F44" s="47" t="n">
        <v>5</v>
      </c>
      <c r="G44" s="47" t="n">
        <v>8</v>
      </c>
      <c r="H44" s="47" t="n">
        <v>15</v>
      </c>
      <c r="I44" s="47" t="n">
        <v>25</v>
      </c>
      <c r="J44" s="47" t="n">
        <v>40</v>
      </c>
      <c r="K44" s="47" t="n">
        <v>60</v>
      </c>
      <c r="L44" s="47" t="n">
        <v>80</v>
      </c>
      <c r="M44" s="47" t="n">
        <v>100</v>
      </c>
      <c r="N44" s="47" t="n">
        <v>130</v>
      </c>
      <c r="O44" s="47" t="n">
        <v>467</v>
      </c>
      <c r="P44" s="48" t="inlineStr">
        <is>
          <t>Year1末：13万人目標</t>
        </is>
      </c>
    </row>
    <row r="45" ht="17" customHeight="1">
      <c r="A45" s="45" t="inlineStr"/>
      <c r="B45" s="46" t="inlineStr">
        <is>
          <t xml:space="preserve">    月間動画再生回数（百万回）</t>
        </is>
      </c>
      <c r="C45" s="47" t="inlineStr">
        <is>
          <t>-</t>
        </is>
      </c>
      <c r="D45" s="47" t="n">
        <v>0.5</v>
      </c>
      <c r="E45" s="47" t="n">
        <v>1</v>
      </c>
      <c r="F45" s="47" t="n">
        <v>3</v>
      </c>
      <c r="G45" s="47" t="n">
        <v>5</v>
      </c>
      <c r="H45" s="47" t="n">
        <v>10</v>
      </c>
      <c r="I45" s="47" t="n">
        <v>15</v>
      </c>
      <c r="J45" s="47" t="n">
        <v>25</v>
      </c>
      <c r="K45" s="47" t="n">
        <v>40</v>
      </c>
      <c r="L45" s="47" t="n">
        <v>60</v>
      </c>
      <c r="M45" s="47" t="n">
        <v>80</v>
      </c>
      <c r="N45" s="47" t="n">
        <v>100</v>
      </c>
      <c r="O45" s="47" t="n">
        <v>339.5</v>
      </c>
      <c r="P45" s="48" t="inlineStr">
        <is>
          <t>バズり指標</t>
        </is>
      </c>
    </row>
    <row r="46" ht="17" customHeight="1">
      <c r="A46" s="45" t="inlineStr"/>
      <c r="B46" s="46" t="inlineStr">
        <is>
          <t xml:space="preserve">    インバウンド体験 月間人数</t>
        </is>
      </c>
      <c r="C46" s="47" t="inlineStr">
        <is>
          <t>-</t>
        </is>
      </c>
      <c r="D46" s="47" t="inlineStr">
        <is>
          <t>-</t>
        </is>
      </c>
      <c r="E46" s="47" t="inlineStr">
        <is>
          <t>-</t>
        </is>
      </c>
      <c r="F46" s="47" t="n">
        <v>50</v>
      </c>
      <c r="G46" s="47" t="n">
        <v>80</v>
      </c>
      <c r="H46" s="47" t="n">
        <v>100</v>
      </c>
      <c r="I46" s="47" t="n">
        <v>150</v>
      </c>
      <c r="J46" s="47" t="n">
        <v>200</v>
      </c>
      <c r="K46" s="47" t="n">
        <v>230</v>
      </c>
      <c r="L46" s="47" t="n">
        <v>280</v>
      </c>
      <c r="M46" s="47" t="n">
        <v>320</v>
      </c>
      <c r="N46" s="47" t="n">
        <v>380</v>
      </c>
      <c r="O46" s="47" t="n">
        <v>1790</v>
      </c>
      <c r="P46" s="48" t="inlineStr">
        <is>
          <t>KSF①：リピート×口コミ</t>
        </is>
      </c>
    </row>
    <row r="47" ht="17" customHeight="1">
      <c r="A47" s="45" t="inlineStr"/>
      <c r="B47" s="46" t="inlineStr">
        <is>
          <t xml:space="preserve">    インバウンド体験 客単価（千円）</t>
        </is>
      </c>
      <c r="C47" s="47" t="inlineStr">
        <is>
          <t>-</t>
        </is>
      </c>
      <c r="D47" s="47" t="inlineStr">
        <is>
          <t>-</t>
        </is>
      </c>
      <c r="E47" s="47" t="inlineStr">
        <is>
          <t>-</t>
        </is>
      </c>
      <c r="F47" s="47" t="n">
        <v>20</v>
      </c>
      <c r="G47" s="47" t="n">
        <v>20</v>
      </c>
      <c r="H47" s="47" t="n">
        <v>20</v>
      </c>
      <c r="I47" s="47" t="n">
        <v>20</v>
      </c>
      <c r="J47" s="47" t="n">
        <v>22</v>
      </c>
      <c r="K47" s="47" t="n">
        <v>22</v>
      </c>
      <c r="L47" s="47" t="n">
        <v>25</v>
      </c>
      <c r="M47" s="47" t="n">
        <v>25</v>
      </c>
      <c r="N47" s="47" t="n">
        <v>25</v>
      </c>
      <c r="O47" s="47" t="n">
        <v>199</v>
      </c>
      <c r="P47" s="48" t="inlineStr">
        <is>
          <t>オプション追加で向上</t>
        </is>
      </c>
    </row>
    <row r="48" ht="17" customHeight="1">
      <c r="A48" s="45" t="inlineStr"/>
      <c r="B48" s="46" t="inlineStr">
        <is>
          <t xml:space="preserve">    月間タイアップ案件数</t>
        </is>
      </c>
      <c r="C48" s="47" t="inlineStr">
        <is>
          <t>-</t>
        </is>
      </c>
      <c r="D48" s="47" t="inlineStr">
        <is>
          <t>-</t>
        </is>
      </c>
      <c r="E48" s="47" t="inlineStr">
        <is>
          <t>-</t>
        </is>
      </c>
      <c r="F48" s="47" t="n">
        <v>1</v>
      </c>
      <c r="G48" s="47" t="n">
        <v>1</v>
      </c>
      <c r="H48" s="47" t="n">
        <v>2</v>
      </c>
      <c r="I48" s="47" t="n">
        <v>2</v>
      </c>
      <c r="J48" s="47" t="n">
        <v>3</v>
      </c>
      <c r="K48" s="47" t="n">
        <v>3</v>
      </c>
      <c r="L48" s="47" t="n">
        <v>4</v>
      </c>
      <c r="M48" s="47" t="n">
        <v>4</v>
      </c>
      <c r="N48" s="47" t="n">
        <v>5</v>
      </c>
      <c r="O48" s="47" t="n">
        <v>25</v>
      </c>
      <c r="P48" s="48" t="inlineStr">
        <is>
          <t>KSF②：ENTIAL営業力</t>
        </is>
      </c>
    </row>
    <row r="49" ht="17" customHeight="1">
      <c r="A49" s="45" t="inlineStr"/>
      <c r="B49" s="46" t="inlineStr">
        <is>
          <t xml:space="preserve">    タイアップ平均単価（万円/件）</t>
        </is>
      </c>
      <c r="C49" s="47" t="inlineStr">
        <is>
          <t>-</t>
        </is>
      </c>
      <c r="D49" s="47" t="inlineStr">
        <is>
          <t>-</t>
        </is>
      </c>
      <c r="E49" s="47" t="inlineStr">
        <is>
          <t>-</t>
        </is>
      </c>
      <c r="F49" s="47" t="n">
        <v>300</v>
      </c>
      <c r="G49" s="47" t="n">
        <v>300</v>
      </c>
      <c r="H49" s="47" t="n">
        <v>300</v>
      </c>
      <c r="I49" s="47" t="n">
        <v>350</v>
      </c>
      <c r="J49" s="47" t="n">
        <v>350</v>
      </c>
      <c r="K49" s="47" t="n">
        <v>350</v>
      </c>
      <c r="L49" s="47" t="n">
        <v>400</v>
      </c>
      <c r="M49" s="47" t="n">
        <v>400</v>
      </c>
      <c r="N49" s="47" t="n">
        <v>400</v>
      </c>
      <c r="O49" s="47" t="n">
        <v>3150</v>
      </c>
      <c r="P49" s="48" t="inlineStr">
        <is>
          <t>実績で単価上昇</t>
        </is>
      </c>
    </row>
    <row r="50" ht="17" customHeight="1">
      <c r="A50" s="45" t="inlineStr"/>
      <c r="B50" s="46" t="inlineStr">
        <is>
          <t xml:space="preserve">    WESELL月間注文数（件）</t>
        </is>
      </c>
      <c r="C50" s="47" t="inlineStr">
        <is>
          <t>-</t>
        </is>
      </c>
      <c r="D50" s="47" t="inlineStr">
        <is>
          <t>-</t>
        </is>
      </c>
      <c r="E50" s="47" t="inlineStr">
        <is>
          <t>-</t>
        </is>
      </c>
      <c r="F50" s="47" t="inlineStr">
        <is>
          <t>-</t>
        </is>
      </c>
      <c r="G50" s="47" t="n">
        <v>100</v>
      </c>
      <c r="H50" s="47" t="n">
        <v>200</v>
      </c>
      <c r="I50" s="47" t="n">
        <v>300</v>
      </c>
      <c r="J50" s="47" t="n">
        <v>400</v>
      </c>
      <c r="K50" s="47" t="n">
        <v>500</v>
      </c>
      <c r="L50" s="47" t="n">
        <v>700</v>
      </c>
      <c r="M50" s="47" t="n">
        <v>900</v>
      </c>
      <c r="N50" s="47" t="n">
        <v>1100</v>
      </c>
      <c r="O50" s="47" t="n">
        <v>4200</v>
      </c>
      <c r="P50" s="48" t="inlineStr">
        <is>
          <t>KSF③：米国TikTok</t>
        </is>
      </c>
    </row>
    <row r="51" ht="17" customHeight="1">
      <c r="A51" s="45" t="inlineStr"/>
      <c r="B51" s="46" t="inlineStr">
        <is>
          <t xml:space="preserve">    IPライセンス契約社数（累計）</t>
        </is>
      </c>
      <c r="C51" s="47" t="inlineStr">
        <is>
          <t>-</t>
        </is>
      </c>
      <c r="D51" s="47" t="inlineStr">
        <is>
          <t>-</t>
        </is>
      </c>
      <c r="E51" s="47" t="inlineStr">
        <is>
          <t>-</t>
        </is>
      </c>
      <c r="F51" s="47" t="inlineStr">
        <is>
          <t>-</t>
        </is>
      </c>
      <c r="G51" s="47" t="inlineStr">
        <is>
          <t>-</t>
        </is>
      </c>
      <c r="H51" s="47" t="n">
        <v>1</v>
      </c>
      <c r="I51" s="47" t="n">
        <v>1</v>
      </c>
      <c r="J51" s="47" t="n">
        <v>2</v>
      </c>
      <c r="K51" s="47" t="n">
        <v>2</v>
      </c>
      <c r="L51" s="47" t="n">
        <v>3</v>
      </c>
      <c r="M51" s="47" t="n">
        <v>3</v>
      </c>
      <c r="N51" s="47" t="n">
        <v>4</v>
      </c>
      <c r="O51" s="47" t="n">
        <v>16</v>
      </c>
      <c r="P51" s="48" t="inlineStr">
        <is>
          <t>KSF④：IP価値向上</t>
        </is>
      </c>
    </row>
    <row r="53" ht="20" customHeight="1">
      <c r="A53" s="44" t="inlineStr">
        <is>
          <t xml:space="preserve">  ▼ Year1通期サマリー</t>
        </is>
      </c>
    </row>
    <row r="54" ht="22" customHeight="1">
      <c r="B54" s="49" t="inlineStr">
        <is>
          <t>売上合計</t>
        </is>
      </c>
      <c r="C54" s="50" t="inlineStr">
        <is>
          <t>14,780 万円</t>
        </is>
      </c>
      <c r="D54" s="51" t="n"/>
      <c r="E54" s="51" t="n"/>
      <c r="F54" s="51" t="n"/>
      <c r="G54" s="52" t="n"/>
      <c r="H54" s="53">
        <f> 1.48億円</f>
        <v/>
      </c>
      <c r="I54" s="51" t="n"/>
      <c r="J54" s="51" t="n"/>
      <c r="K54" s="51" t="n"/>
      <c r="L54" s="51" t="n"/>
      <c r="M54" s="51" t="n"/>
      <c r="N54" s="51" t="n"/>
      <c r="O54" s="51" t="n"/>
      <c r="P54" s="52" t="n"/>
    </row>
    <row r="55" ht="22" customHeight="1">
      <c r="B55" s="49" t="inlineStr">
        <is>
          <t>売上総利益</t>
        </is>
      </c>
      <c r="C55" s="50" t="inlineStr">
        <is>
          <t>9,441 万円</t>
        </is>
      </c>
      <c r="D55" s="51" t="n"/>
      <c r="E55" s="51" t="n"/>
      <c r="F55" s="51" t="n"/>
      <c r="G55" s="52" t="n"/>
      <c r="H55" s="53" t="inlineStr">
        <is>
          <t>GP率 63.9%</t>
        </is>
      </c>
      <c r="I55" s="51" t="n"/>
      <c r="J55" s="51" t="n"/>
      <c r="K55" s="51" t="n"/>
      <c r="L55" s="51" t="n"/>
      <c r="M55" s="51" t="n"/>
      <c r="N55" s="51" t="n"/>
      <c r="O55" s="51" t="n"/>
      <c r="P55" s="52" t="n"/>
    </row>
    <row r="56" ht="22" customHeight="1">
      <c r="B56" s="49" t="inlineStr">
        <is>
          <t>販管費合計</t>
        </is>
      </c>
      <c r="C56" s="54" t="inlineStr">
        <is>
          <t>8,052 万円</t>
        </is>
      </c>
      <c r="D56" s="51" t="n"/>
      <c r="E56" s="51" t="n"/>
      <c r="F56" s="51" t="n"/>
      <c r="G56" s="52" t="n"/>
      <c r="H56" s="53" t="inlineStr"/>
      <c r="I56" s="51" t="n"/>
      <c r="J56" s="51" t="n"/>
      <c r="K56" s="51" t="n"/>
      <c r="L56" s="51" t="n"/>
      <c r="M56" s="51" t="n"/>
      <c r="N56" s="51" t="n"/>
      <c r="O56" s="51" t="n"/>
      <c r="P56" s="52" t="n"/>
    </row>
    <row r="57" ht="22" customHeight="1">
      <c r="B57" s="49" t="inlineStr">
        <is>
          <t>営業利益</t>
        </is>
      </c>
      <c r="C57" s="50" t="inlineStr">
        <is>
          <t>1,389 万円</t>
        </is>
      </c>
      <c r="D57" s="51" t="n"/>
      <c r="E57" s="51" t="n"/>
      <c r="F57" s="51" t="n"/>
      <c r="G57" s="52" t="n"/>
      <c r="H57" s="53" t="inlineStr">
        <is>
          <t>OPM 9.4%</t>
        </is>
      </c>
      <c r="I57" s="51" t="n"/>
      <c r="J57" s="51" t="n"/>
      <c r="K57" s="51" t="n"/>
      <c r="L57" s="51" t="n"/>
      <c r="M57" s="51" t="n"/>
      <c r="N57" s="51" t="n"/>
      <c r="O57" s="51" t="n"/>
      <c r="P57" s="52" t="n"/>
    </row>
    <row r="58" ht="22" customHeight="1">
      <c r="B58" s="49" t="inlineStr">
        <is>
          <t>損益分岐月</t>
        </is>
      </c>
      <c r="C58" s="54" t="inlineStr">
        <is>
          <t>M10</t>
        </is>
      </c>
      <c r="D58" s="51" t="n"/>
      <c r="E58" s="51" t="n"/>
      <c r="F58" s="51" t="n"/>
      <c r="G58" s="52" t="n"/>
      <c r="H58" s="53" t="inlineStr"/>
      <c r="I58" s="51" t="n"/>
      <c r="J58" s="51" t="n"/>
      <c r="K58" s="51" t="n"/>
      <c r="L58" s="51" t="n"/>
      <c r="M58" s="51" t="n"/>
      <c r="N58" s="51" t="n"/>
      <c r="O58" s="51" t="n"/>
      <c r="P58" s="52" t="n"/>
    </row>
    <row r="60" ht="18" customHeight="1">
      <c r="A60" s="55" t="inlineStr">
        <is>
          <t>【注記】①単価は仮置き　②原価率・販管費構成はバズFY26着予データ参考　③ENTIALはバズ社内PMのため追加人件費ゼロ　④数値はセル直接編集可</t>
        </is>
      </c>
    </row>
  </sheetData>
  <mergeCells count="19">
    <mergeCell ref="A5:P5"/>
    <mergeCell ref="C58:G58"/>
    <mergeCell ref="A53:P53"/>
    <mergeCell ref="A38:P38"/>
    <mergeCell ref="A29:P29"/>
    <mergeCell ref="A43:P43"/>
    <mergeCell ref="A19:P19"/>
    <mergeCell ref="C54:G54"/>
    <mergeCell ref="H57:P57"/>
    <mergeCell ref="C55:G55"/>
    <mergeCell ref="C56:G56"/>
    <mergeCell ref="A60:P60"/>
    <mergeCell ref="A1:P1"/>
    <mergeCell ref="H54:P54"/>
    <mergeCell ref="H55:P55"/>
    <mergeCell ref="C57:G57"/>
    <mergeCell ref="H58:P58"/>
    <mergeCell ref="H56:P56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2026-04-15T02:24:44Z</dcterms:created>
  <dcterms:modified xmlns:dcterms="http://purl.org/dc/terms/" xmlns:xsi="http://www.w3.org/2001/XMLSchema-instance" xsi:type="dcterms:W3CDTF">2026-04-15T02:24:44Z</dcterms:modified>
</cp:coreProperties>
</file>